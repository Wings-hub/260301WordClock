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H\"/>
    </mc:Choice>
  </mc:AlternateContent>
  <bookViews>
    <workbookView xWindow="3420" yWindow="510" windowWidth="25380" windowHeight="16740"/>
  </bookViews>
  <sheets>
    <sheet name="Report" sheetId="2" r:id="rId1"/>
    <sheet name="Formalities" sheetId="4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1" i="2" l="1"/>
  <c r="E320" i="2"/>
  <c r="E321" i="2" s="1"/>
  <c r="E123" i="2"/>
  <c r="F124" i="2"/>
  <c r="B149" i="2"/>
  <c r="A149" i="2"/>
  <c r="F138" i="2"/>
  <c r="F149" i="2" s="1"/>
  <c r="F139" i="2"/>
  <c r="F150" i="2" s="1"/>
  <c r="F140" i="2"/>
  <c r="F151" i="2" s="1"/>
  <c r="F141" i="2"/>
  <c r="F152" i="2" s="1"/>
  <c r="F142" i="2"/>
  <c r="F153" i="2" s="1"/>
  <c r="F143" i="2"/>
  <c r="F154" i="2" s="1"/>
  <c r="F144" i="2"/>
  <c r="F155" i="2" s="1"/>
  <c r="F145" i="2"/>
  <c r="F156" i="2" s="1"/>
  <c r="F146" i="2"/>
  <c r="F157" i="2" s="1"/>
  <c r="C138" i="2"/>
  <c r="C149" i="2" s="1"/>
  <c r="C139" i="2"/>
  <c r="C150" i="2" s="1"/>
  <c r="C140" i="2"/>
  <c r="C151" i="2" s="1"/>
  <c r="C141" i="2"/>
  <c r="C152" i="2" s="1"/>
  <c r="C142" i="2"/>
  <c r="C153" i="2" s="1"/>
  <c r="C143" i="2"/>
  <c r="C154" i="2" s="1"/>
  <c r="C144" i="2"/>
  <c r="C155" i="2" s="1"/>
  <c r="C145" i="2"/>
  <c r="C156" i="2" s="1"/>
  <c r="C146" i="2"/>
  <c r="C157" i="2" s="1"/>
  <c r="A139" i="2"/>
  <c r="A150" i="2" s="1"/>
  <c r="F312" i="2" l="1"/>
  <c r="E332" i="2"/>
  <c r="F333" i="2"/>
  <c r="E333" i="2"/>
  <c r="E342" i="2"/>
  <c r="E343" i="2" s="1"/>
  <c r="F343" i="2"/>
  <c r="F286" i="2"/>
  <c r="E286" i="2"/>
  <c r="F407" i="2"/>
  <c r="F391" i="2"/>
  <c r="E390" i="2"/>
  <c r="E391" i="2" s="1"/>
  <c r="C388" i="2"/>
  <c r="C387" i="2"/>
  <c r="C386" i="2"/>
  <c r="C385" i="2"/>
  <c r="F381" i="2"/>
  <c r="E380" i="2"/>
  <c r="E381" i="2" s="1"/>
  <c r="F371" i="2"/>
  <c r="E370" i="2"/>
  <c r="E371" i="2" s="1"/>
  <c r="E419" i="2"/>
  <c r="E420" i="2" s="1"/>
  <c r="F420" i="2"/>
  <c r="E431" i="2"/>
  <c r="E432" i="2" s="1"/>
  <c r="F432" i="2"/>
  <c r="E86" i="2" l="1"/>
  <c r="E49" i="2"/>
  <c r="F477" i="2" l="1"/>
  <c r="F226" i="2" l="1"/>
  <c r="E225" i="2"/>
  <c r="E226" i="2" s="1"/>
  <c r="F219" i="2"/>
  <c r="E218" i="2"/>
  <c r="E219" i="2" s="1"/>
  <c r="F211" i="2" l="1"/>
  <c r="F471" i="2"/>
  <c r="E470" i="2"/>
  <c r="E461" i="2"/>
  <c r="F461" i="2"/>
  <c r="F356" i="2"/>
  <c r="F266" i="2"/>
  <c r="A69" i="2"/>
  <c r="E265" i="2"/>
  <c r="E266" i="2" s="1"/>
  <c r="E471" i="2" l="1"/>
  <c r="E476" i="2" s="1"/>
  <c r="E477" i="2" s="1"/>
  <c r="F274" i="2"/>
  <c r="E274" i="2"/>
  <c r="E273" i="2"/>
  <c r="F239" i="2"/>
  <c r="F76" i="2"/>
  <c r="E75" i="2"/>
  <c r="E76" i="2" s="1"/>
  <c r="E87" i="2"/>
  <c r="F87" i="2"/>
  <c r="F173" i="2"/>
  <c r="E172" i="2"/>
  <c r="E173" i="2" s="1"/>
  <c r="F159" i="2"/>
  <c r="E158" i="2"/>
  <c r="E159" i="2" s="1"/>
  <c r="E285" i="2" l="1"/>
  <c r="F148" i="2"/>
  <c r="E147" i="2"/>
  <c r="E148" i="2" s="1"/>
  <c r="F136" i="2"/>
  <c r="E135" i="2"/>
  <c r="E136" i="2" s="1"/>
  <c r="F196" i="2"/>
  <c r="E195" i="2"/>
  <c r="E196" i="2" s="1"/>
  <c r="F204" i="2"/>
  <c r="E203" i="2"/>
  <c r="E204" i="2" s="1"/>
  <c r="F360" i="2"/>
  <c r="E359" i="2"/>
  <c r="E360" i="2" s="1"/>
  <c r="E355" i="2"/>
  <c r="E356" i="2" s="1"/>
  <c r="F67" i="2"/>
  <c r="E66" i="2"/>
  <c r="E67" i="2" s="1"/>
  <c r="F248" i="2" l="1"/>
  <c r="E248" i="2"/>
  <c r="E247" i="2"/>
  <c r="E239" i="2"/>
  <c r="E238" i="2"/>
  <c r="F520" i="2" l="1"/>
  <c r="E519" i="2"/>
  <c r="E520" i="2" s="1"/>
  <c r="F506" i="2"/>
  <c r="E505" i="2"/>
  <c r="E506" i="2" s="1"/>
  <c r="F492" i="2"/>
  <c r="E491" i="2"/>
  <c r="E492" i="2" s="1"/>
  <c r="F50" i="2"/>
  <c r="E50" i="2"/>
  <c r="E311" i="2"/>
  <c r="E124" i="2"/>
  <c r="F186" i="2"/>
  <c r="E185" i="2"/>
  <c r="E186" i="2" s="1"/>
  <c r="E526" i="2" l="1"/>
  <c r="F526" i="2"/>
  <c r="E312" i="2"/>
  <c r="F534" i="2"/>
  <c r="F535" i="2" s="1"/>
  <c r="F536" i="2" s="1"/>
  <c r="F537" i="2" s="1"/>
  <c r="F538" i="2" s="1"/>
  <c r="F539" i="2" s="1"/>
  <c r="F540" i="2" s="1"/>
  <c r="F541" i="2" s="1"/>
  <c r="E451" i="2" l="1"/>
  <c r="E452" i="2" s="1"/>
  <c r="E442" i="2"/>
  <c r="E443" i="2" s="1"/>
  <c r="E108" i="2"/>
  <c r="E109" i="2" s="1"/>
  <c r="E525" i="2" s="1"/>
  <c r="E97" i="2"/>
  <c r="E98" i="2" s="1"/>
  <c r="E527" i="2" s="1"/>
  <c r="E406" i="2" l="1"/>
  <c r="E407" i="2" s="1"/>
  <c r="E524" i="2" s="1"/>
  <c r="F452" i="2"/>
  <c r="F443" i="2"/>
  <c r="F524" i="2" l="1"/>
  <c r="H526" i="2" s="1"/>
  <c r="F109" i="2"/>
  <c r="F525" i="2" s="1"/>
  <c r="F98" i="2"/>
  <c r="F527" i="2" s="1"/>
  <c r="H527" i="2" l="1"/>
  <c r="H525" i="2"/>
  <c r="H524" i="2"/>
</calcChain>
</file>

<file path=xl/comments1.xml><?xml version="1.0" encoding="utf-8"?>
<comments xmlns="http://schemas.openxmlformats.org/spreadsheetml/2006/main">
  <authors>
    <author>Elmar Wings</author>
  </authors>
  <commentList>
    <comment ref="K359" authorId="0" shapeId="0">
      <text>
        <r>
          <rPr>
            <b/>
            <sz val="9"/>
            <color indexed="81"/>
            <rFont val="Segoe UI"/>
            <family val="2"/>
          </rPr>
          <t>Elmar Wings:</t>
        </r>
        <r>
          <rPr>
            <sz val="9"/>
            <color indexed="81"/>
            <rFont val="Segoe UI"/>
            <family val="2"/>
          </rPr>
          <t xml:space="preserve">
- \newline
- \\
- free lines
- no references to figures,…
 \newpage
- not using lstlisting/listinout
- not using \FILE,\PYTHON
- no headers
- ...</t>
        </r>
      </text>
    </comment>
  </commentList>
</comments>
</file>

<file path=xl/comments2.xml><?xml version="1.0" encoding="utf-8"?>
<comments xmlns="http://schemas.openxmlformats.org/spreadsheetml/2006/main">
  <authors>
    <author>Elmar Wings</author>
  </authors>
  <commentList>
    <comment ref="B14" authorId="0" shapeId="0">
      <text>
        <r>
          <rPr>
            <b/>
            <sz val="9"/>
            <color indexed="81"/>
            <rFont val="Segoe UI"/>
            <charset val="1"/>
          </rPr>
          <t>Elmar Wings:</t>
        </r>
        <r>
          <rPr>
            <sz val="9"/>
            <color indexed="81"/>
            <rFont val="Segoe UI"/>
            <charset val="1"/>
          </rPr>
          <t xml:space="preserve">
main page
descriptions of the functions
descriptions of the parameters
</t>
        </r>
      </text>
    </comment>
    <comment ref="B15" authorId="0" shapeId="0">
      <text>
        <r>
          <rPr>
            <b/>
            <sz val="9"/>
            <color indexed="81"/>
            <rFont val="Segoe UI"/>
            <charset val="1"/>
          </rPr>
          <t>Elmar Wings:</t>
        </r>
        <r>
          <rPr>
            <sz val="9"/>
            <color indexed="81"/>
            <rFont val="Segoe UI"/>
            <charset val="1"/>
          </rPr>
          <t xml:space="preserve">
in all possible files:
- py
- tex
-bib
- ...</t>
        </r>
      </text>
    </comment>
    <comment ref="B34" authorId="0" shapeId="0">
      <text>
        <r>
          <rPr>
            <b/>
            <sz val="9"/>
            <color indexed="81"/>
            <rFont val="Segoe UI"/>
            <family val="2"/>
          </rPr>
          <t>Elmar Wings:</t>
        </r>
        <r>
          <rPr>
            <sz val="9"/>
            <color indexed="81"/>
            <rFont val="Segoe UI"/>
            <family val="2"/>
          </rPr>
          <t xml:space="preserve">
- \newline
- \\
- free lines
- no references to figures,…
 \newpage
- not using lstlisting/listinout
- not using \FILE,\PYTHON
- no headers
- ...</t>
        </r>
      </text>
    </comment>
  </commentList>
</comments>
</file>

<file path=xl/sharedStrings.xml><?xml version="1.0" encoding="utf-8"?>
<sst xmlns="http://schemas.openxmlformats.org/spreadsheetml/2006/main" count="605" uniqueCount="366">
  <si>
    <t>Literature</t>
  </si>
  <si>
    <t>bib file</t>
  </si>
  <si>
    <t>completeness</t>
  </si>
  <si>
    <t>quality</t>
  </si>
  <si>
    <t>presentation</t>
  </si>
  <si>
    <t>description</t>
  </si>
  <si>
    <t>Introduction</t>
  </si>
  <si>
    <t>problem's description</t>
  </si>
  <si>
    <t>no phrases</t>
  </si>
  <si>
    <t>literature</t>
  </si>
  <si>
    <t>challenges (with literature)</t>
  </si>
  <si>
    <t>solution</t>
  </si>
  <si>
    <t>structure</t>
  </si>
  <si>
    <t>problem</t>
  </si>
  <si>
    <t>data acquisition</t>
  </si>
  <si>
    <t>data quantity</t>
  </si>
  <si>
    <t>data quality</t>
  </si>
  <si>
    <t>data relevance</t>
  </si>
  <si>
    <t>anomalies</t>
  </si>
  <si>
    <t>outliers</t>
  </si>
  <si>
    <t>data mining</t>
  </si>
  <si>
    <t>algorithm</t>
  </si>
  <si>
    <t>hyperparameters</t>
  </si>
  <si>
    <t>applications</t>
  </si>
  <si>
    <t>example with a program</t>
  </si>
  <si>
    <t>input</t>
  </si>
  <si>
    <t>output</t>
  </si>
  <si>
    <t>relevance</t>
  </si>
  <si>
    <t>methodology</t>
  </si>
  <si>
    <t>CRISP-DM</t>
  </si>
  <si>
    <t>ML pipeline</t>
  </si>
  <si>
    <t>other</t>
  </si>
  <si>
    <t>kdd process</t>
  </si>
  <si>
    <t>requirements</t>
  </si>
  <si>
    <t>Monitoring</t>
  </si>
  <si>
    <t>origin</t>
  </si>
  <si>
    <t>Process</t>
  </si>
  <si>
    <t>project plan</t>
  </si>
  <si>
    <t>LaTeX</t>
  </si>
  <si>
    <t>GitHub: uploads on 20 days</t>
  </si>
  <si>
    <t>Software Bill of Materials</t>
  </si>
  <si>
    <t>Data Version Control</t>
  </si>
  <si>
    <t>idea</t>
  </si>
  <si>
    <t>Installation</t>
  </si>
  <si>
    <t>First Steps</t>
  </si>
  <si>
    <t>installation</t>
  </si>
  <si>
    <t>functions</t>
  </si>
  <si>
    <t>help</t>
  </si>
  <si>
    <t>error handling</t>
  </si>
  <si>
    <t>program</t>
  </si>
  <si>
    <t xml:space="preserve">readable </t>
  </si>
  <si>
    <t>parameter handling</t>
  </si>
  <si>
    <t>structure/modules</t>
  </si>
  <si>
    <t>names</t>
  </si>
  <si>
    <t>Package</t>
  </si>
  <si>
    <t xml:space="preserve">Introduction </t>
  </si>
  <si>
    <t>Description</t>
  </si>
  <si>
    <t>Example - Files</t>
  </si>
  <si>
    <t>folders</t>
  </si>
  <si>
    <t>files</t>
  </si>
  <si>
    <t>modules</t>
  </si>
  <si>
    <t>variables</t>
  </si>
  <si>
    <t>Data selection</t>
  </si>
  <si>
    <t>data transformation</t>
  </si>
  <si>
    <t>tool</t>
  </si>
  <si>
    <t>complettness</t>
  </si>
  <si>
    <t>Documentation developer</t>
  </si>
  <si>
    <t>ml pipeline</t>
  </si>
  <si>
    <t>spelling/punctuation/grammar</t>
  </si>
  <si>
    <t>Short Description</t>
  </si>
  <si>
    <t>github Project</t>
  </si>
  <si>
    <t>Author:</t>
  </si>
  <si>
    <t>Name</t>
  </si>
  <si>
    <t>Surname</t>
  </si>
  <si>
    <t>Matrikelnumber</t>
  </si>
  <si>
    <t>github Nickname</t>
  </si>
  <si>
    <t>Study Course:</t>
  </si>
  <si>
    <t>Semester:</t>
  </si>
  <si>
    <t>Project Start:</t>
  </si>
  <si>
    <t>Planned Project End:</t>
  </si>
  <si>
    <t>Name of the module:</t>
  </si>
  <si>
    <t>CPs:</t>
  </si>
  <si>
    <t>Grading</t>
  </si>
  <si>
    <t>Sub Topic</t>
  </si>
  <si>
    <t>`++/+/0/-/--</t>
  </si>
  <si>
    <t>Further Reading</t>
  </si>
  <si>
    <t>all files are available</t>
  </si>
  <si>
    <t>report's structure</t>
  </si>
  <si>
    <t>Features</t>
  </si>
  <si>
    <t>Quality</t>
  </si>
  <si>
    <t>types</t>
  </si>
  <si>
    <t>Given documentation</t>
  </si>
  <si>
    <t>use of</t>
  </si>
  <si>
    <t>same notation</t>
  </si>
  <si>
    <t>Supplements</t>
  </si>
  <si>
    <t>same structure</t>
  </si>
  <si>
    <t>Hardware</t>
  </si>
  <si>
    <t>constraints</t>
  </si>
  <si>
    <t>dimensions</t>
  </si>
  <si>
    <t>conclusions</t>
  </si>
  <si>
    <t>data</t>
  </si>
  <si>
    <t>qualitiy</t>
  </si>
  <si>
    <t>quantity</t>
  </si>
  <si>
    <t>Improvements</t>
  </si>
  <si>
    <t>requirements.txt</t>
  </si>
  <si>
    <t>minimal</t>
  </si>
  <si>
    <t>documentation</t>
  </si>
  <si>
    <t>Tests</t>
  </si>
  <si>
    <t>max 20% is pictures</t>
  </si>
  <si>
    <t>challenges</t>
  </si>
  <si>
    <t>solutions</t>
  </si>
  <si>
    <t>results</t>
  </si>
  <si>
    <t>Manual</t>
  </si>
  <si>
    <t>main function</t>
  </si>
  <si>
    <t>sketch of the GUI or UI</t>
  </si>
  <si>
    <t>maintenance</t>
  </si>
  <si>
    <t>Troubleshooting</t>
  </si>
  <si>
    <t>specifications</t>
  </si>
  <si>
    <t>independence of the internals</t>
  </si>
  <si>
    <t>Minor changes</t>
  </si>
  <si>
    <t>list of minor changes</t>
  </si>
  <si>
    <t>major improvements</t>
  </si>
  <si>
    <t>documentation of the major improvements</t>
  </si>
  <si>
    <t>readme</t>
  </si>
  <si>
    <t>in Time (14 days)</t>
  </si>
  <si>
    <t>updated</t>
  </si>
  <si>
    <t>Problem's description</t>
  </si>
  <si>
    <t>pictures</t>
  </si>
  <si>
    <t>Folder structure</t>
  </si>
  <si>
    <t>links to folder</t>
  </si>
  <si>
    <t>links to files</t>
  </si>
  <si>
    <t>author.xlsx</t>
  </si>
  <si>
    <t>group members</t>
  </si>
  <si>
    <t>in time (7 days)</t>
  </si>
  <si>
    <t>addresses</t>
  </si>
  <si>
    <t>emails</t>
  </si>
  <si>
    <t>github nicknames</t>
  </si>
  <si>
    <t>contact data</t>
  </si>
  <si>
    <t>Responsible (Just one person)</t>
  </si>
  <si>
    <t>LaTeX Installation in Time (7 Days)</t>
  </si>
  <si>
    <t>Git Account in Time (2 days)</t>
  </si>
  <si>
    <t>notation</t>
  </si>
  <si>
    <t>filenames</t>
  </si>
  <si>
    <t>not short, not long</t>
  </si>
  <si>
    <t>only letters, no blanks,…</t>
  </si>
  <si>
    <t>plausible, not 1.*,…</t>
  </si>
  <si>
    <t>file headers</t>
  </si>
  <si>
    <t>author</t>
  </si>
  <si>
    <t>project</t>
  </si>
  <si>
    <t>filename</t>
  </si>
  <si>
    <t>short description</t>
  </si>
  <si>
    <t>dependicies</t>
  </si>
  <si>
    <t>project's structure</t>
  </si>
  <si>
    <t>name</t>
  </si>
  <si>
    <t>list of materials</t>
  </si>
  <si>
    <t>picture</t>
  </si>
  <si>
    <t>link</t>
  </si>
  <si>
    <t>prices</t>
  </si>
  <si>
    <t>complete</t>
  </si>
  <si>
    <t>thinking in components/modules</t>
  </si>
  <si>
    <t>adequate</t>
  </si>
  <si>
    <t>scope</t>
  </si>
  <si>
    <t>all aspects</t>
  </si>
  <si>
    <t>images</t>
  </si>
  <si>
    <t>own</t>
  </si>
  <si>
    <t>enough</t>
  </si>
  <si>
    <t>labelled</t>
  </si>
  <si>
    <t>ref</t>
  </si>
  <si>
    <t>readable latex code</t>
  </si>
  <si>
    <t>indents</t>
  </si>
  <si>
    <t>empty lines</t>
  </si>
  <si>
    <t>header</t>
  </si>
  <si>
    <t>correct types</t>
  </si>
  <si>
    <t>all fields</t>
  </si>
  <si>
    <t>sorted (abc)</t>
  </si>
  <si>
    <t>updated readme.md</t>
  </si>
  <si>
    <t>Version</t>
  </si>
  <si>
    <t>Development Environment</t>
  </si>
  <si>
    <t>Configuration</t>
  </si>
  <si>
    <t>Weekly Update</t>
  </si>
  <si>
    <t>Allocation of tasks identifiable</t>
  </si>
  <si>
    <t>Plausible</t>
  </si>
  <si>
    <t>Results checkable</t>
  </si>
  <si>
    <t>Reasonable structure</t>
  </si>
  <si>
    <t>all</t>
  </si>
  <si>
    <t>student 1</t>
  </si>
  <si>
    <t>student 2</t>
  </si>
  <si>
    <t>student 3</t>
  </si>
  <si>
    <t xml:space="preserve">Keyword Spotting with an Arduino Nano 33 BLE Sense		</t>
  </si>
  <si>
    <t xml:space="preserve">Application of TinyML for training datasets for Arduino Nano BLE sense 33 to blink RGB whenever it senses trained word for sample of trained data. </t>
  </si>
  <si>
    <t>Wintee</t>
  </si>
  <si>
    <t>Project T</t>
  </si>
  <si>
    <t xml:space="preserve"> &lt;10&gt;</t>
  </si>
  <si>
    <t>Justification</t>
  </si>
  <si>
    <t>Deployment</t>
  </si>
  <si>
    <t>TensorFlow Lite</t>
  </si>
  <si>
    <t>Code Example</t>
  </si>
  <si>
    <t>TensorFlow Lite Micro</t>
  </si>
  <si>
    <t>Use in the project</t>
  </si>
  <si>
    <t>todo</t>
  </si>
  <si>
    <t>next steps</t>
  </si>
  <si>
    <t>Plan</t>
  </si>
  <si>
    <t>List of Packages, Tools,…</t>
  </si>
  <si>
    <t>Checks</t>
  </si>
  <si>
    <t>Message handling</t>
  </si>
  <si>
    <t>unanswered points</t>
  </si>
  <si>
    <t>first steps</t>
  </si>
  <si>
    <t>Program "Hello World"</t>
  </si>
  <si>
    <t>Own Pictures</t>
  </si>
  <si>
    <t>formalities</t>
  </si>
  <si>
    <t>due in time</t>
  </si>
  <si>
    <t>actual author.xlxs</t>
  </si>
  <si>
    <t>not using tikz</t>
  </si>
  <si>
    <t>no pdf files of the citations</t>
  </si>
  <si>
    <t>no citations</t>
  </si>
  <si>
    <t>all files</t>
  </si>
  <si>
    <t>stupid/strange/senseless filenames</t>
  </si>
  <si>
    <t>no websites as pdf</t>
  </si>
  <si>
    <t>no doxygen</t>
  </si>
  <si>
    <t>no headers</t>
  </si>
  <si>
    <t>flow chart of each step in teh development, not code</t>
  </si>
  <si>
    <t>Example - Manual</t>
  </si>
  <si>
    <t>Example -Description</t>
  </si>
  <si>
    <t>bad LaTeX code</t>
  </si>
  <si>
    <t>Plan/Description</t>
  </si>
  <si>
    <t>not using the given structure/template</t>
  </si>
  <si>
    <t>Formalities</t>
  </si>
  <si>
    <t>no bib file</t>
  </si>
  <si>
    <t>bib file entries are ot correct</t>
  </si>
  <si>
    <t>label "author:year"</t>
  </si>
  <si>
    <t>filename "MyLiterature.bib"</t>
  </si>
  <si>
    <t>description of the folders</t>
  </si>
  <si>
    <t>description of the files</t>
  </si>
  <si>
    <t>Percent</t>
  </si>
  <si>
    <t>Grade</t>
  </si>
  <si>
    <t>Grades</t>
  </si>
  <si>
    <t>n.b.</t>
  </si>
  <si>
    <t>Maximum Score</t>
  </si>
  <si>
    <t>Presentation</t>
  </si>
  <si>
    <t>Contents</t>
  </si>
  <si>
    <t>Code</t>
  </si>
  <si>
    <t>using of tikz</t>
  </si>
  <si>
    <t>Hyperparameter</t>
  </si>
  <si>
    <t>Algorithm</t>
  </si>
  <si>
    <t>package</t>
  </si>
  <si>
    <t>configuration</t>
  </si>
  <si>
    <t>further Readings</t>
  </si>
  <si>
    <t>60 pages</t>
  </si>
  <si>
    <t>Part domain knowledge</t>
  </si>
  <si>
    <t>Part methodology</t>
  </si>
  <si>
    <t>Additional tasks</t>
  </si>
  <si>
    <t>Project Management</t>
  </si>
  <si>
    <t>Part Application Development</t>
  </si>
  <si>
    <t>Part Application Deployment</t>
  </si>
  <si>
    <t>Part Application Appendix</t>
  </si>
  <si>
    <t>General Aspects</t>
  </si>
  <si>
    <t>Data Base</t>
  </si>
  <si>
    <t>Data Types</t>
  </si>
  <si>
    <t>Fairness/Bias</t>
  </si>
  <si>
    <t>Quantitiy</t>
  </si>
  <si>
    <t>data processing</t>
  </si>
  <si>
    <t>one database</t>
  </si>
  <si>
    <t>propetrties</t>
  </si>
  <si>
    <t>augmentation</t>
  </si>
  <si>
    <t>KDD</t>
  </si>
  <si>
    <t>Apply to your application</t>
  </si>
  <si>
    <t>Input</t>
  </si>
  <si>
    <t>Training</t>
  </si>
  <si>
    <t>Interpretation</t>
  </si>
  <si>
    <t>Output</t>
  </si>
  <si>
    <t>From Development</t>
  </si>
  <si>
    <t>Data structure</t>
  </si>
  <si>
    <t>to Deployment</t>
  </si>
  <si>
    <t>tools</t>
  </si>
  <si>
    <t>Evaluation</t>
  </si>
  <si>
    <t>concept</t>
  </si>
  <si>
    <t>Application</t>
  </si>
  <si>
    <t>Validation</t>
  </si>
  <si>
    <t>General</t>
  </si>
  <si>
    <t>3 Ideas</t>
  </si>
  <si>
    <t>Idea</t>
  </si>
  <si>
    <t>Data updating in the ML pipeline</t>
  </si>
  <si>
    <t>Privacy</t>
  </si>
  <si>
    <t>Robustness</t>
  </si>
  <si>
    <t>Presentation Literature</t>
  </si>
  <si>
    <t>LaTeX project</t>
  </si>
  <si>
    <t>Poster</t>
  </si>
  <si>
    <t xml:space="preserve"> </t>
  </si>
  <si>
    <t>Getting New Data</t>
  </si>
  <si>
    <t>Code: Functions</t>
  </si>
  <si>
    <t>Code: Test</t>
  </si>
  <si>
    <t>photo of the running system on the titlepage</t>
  </si>
  <si>
    <t>all diagrams, sketches, pictures with tikz, minimum 5</t>
  </si>
  <si>
    <t>Python</t>
  </si>
  <si>
    <t>e.g. OS Linux</t>
  </si>
  <si>
    <t>e.g. Arduino IDE</t>
  </si>
  <si>
    <t>Program "Hello World"/bash files</t>
  </si>
  <si>
    <t>First Steps (description of the GUI/UI)</t>
  </si>
  <si>
    <t>Hint: every component</t>
  </si>
  <si>
    <t>Quantity</t>
  </si>
  <si>
    <t>code with simple example</t>
  </si>
  <si>
    <t>domain Sensor</t>
  </si>
  <si>
    <t>domain hardware</t>
  </si>
  <si>
    <t>properties</t>
  </si>
  <si>
    <t>domain system</t>
  </si>
  <si>
    <t>complete system</t>
  </si>
  <si>
    <t>design</t>
  </si>
  <si>
    <t>folder struture</t>
  </si>
  <si>
    <t>hints for manufacturing</t>
  </si>
  <si>
    <t>description of assembly</t>
  </si>
  <si>
    <t>Domain Machine Learning</t>
  </si>
  <si>
    <t>Domain Tools</t>
  </si>
  <si>
    <t>General aspects</t>
  </si>
  <si>
    <t>application description</t>
  </si>
  <si>
    <t>flow chart of each step in the deployment, not code</t>
  </si>
  <si>
    <t>project management files</t>
  </si>
  <si>
    <t>using tikz</t>
  </si>
  <si>
    <t xml:space="preserve"> of important modules</t>
  </si>
  <si>
    <t>Example - Code</t>
  </si>
  <si>
    <t>Saving models</t>
  </si>
  <si>
    <t>Loading models</t>
  </si>
  <si>
    <t>file structure for model exchangement</t>
  </si>
  <si>
    <t>Conclusion</t>
  </si>
  <si>
    <t>Presentation of the results</t>
  </si>
  <si>
    <t>own pictures/tikz</t>
  </si>
  <si>
    <t>Description of the application</t>
  </si>
  <si>
    <t>own solutions</t>
  </si>
  <si>
    <t>Results</t>
  </si>
  <si>
    <t>Data</t>
  </si>
  <si>
    <t>size</t>
  </si>
  <si>
    <t>format</t>
  </si>
  <si>
    <t>flow chart of each step in the development, not code</t>
  </si>
  <si>
    <t>HTML-Software Documentation</t>
  </si>
  <si>
    <t>Software Documentation</t>
  </si>
  <si>
    <t>main page</t>
  </si>
  <si>
    <t xml:space="preserve"> with Doxygen</t>
  </si>
  <si>
    <t>descriptions</t>
  </si>
  <si>
    <t>parameters</t>
  </si>
  <si>
    <t>updated titlepage</t>
  </si>
  <si>
    <t>updated readme.md/author.xlsx</t>
  </si>
  <si>
    <t>key words - list of all keywords</t>
  </si>
  <si>
    <t>HARDWARE</t>
  </si>
  <si>
    <t>Document Manual</t>
  </si>
  <si>
    <t>Document Manufacturing and Assembly</t>
  </si>
  <si>
    <t>Document Poster</t>
  </si>
  <si>
    <t>Document Report</t>
  </si>
  <si>
    <t>General description of the sensor type</t>
  </si>
  <si>
    <t>Specific Sensor</t>
  </si>
  <si>
    <t>Library</t>
  </si>
  <si>
    <t>Specification</t>
  </si>
  <si>
    <t>Calibration</t>
  </si>
  <si>
    <t>Simple Code</t>
  </si>
  <si>
    <t>Simple Application</t>
  </si>
  <si>
    <t>Further Readings</t>
  </si>
  <si>
    <t>domain sensor/actor</t>
  </si>
  <si>
    <t>e.g. camera, IMU, SPI</t>
  </si>
  <si>
    <t>hardware interfaces</t>
  </si>
  <si>
    <t>os/software interfaces/protocols</t>
  </si>
  <si>
    <t>Test complete system</t>
  </si>
  <si>
    <t>Test parts</t>
  </si>
  <si>
    <t>Test System's Functions</t>
  </si>
  <si>
    <t>Test software modules</t>
  </si>
  <si>
    <t>Test software classes</t>
  </si>
  <si>
    <t>Test software functions</t>
  </si>
  <si>
    <t>automation of the tests</t>
  </si>
  <si>
    <t>Test protocol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</si>
</sst>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12529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Algerian"/>
      <family val="5"/>
    </font>
    <font>
      <sz val="11"/>
      <color theme="0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7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4" fillId="0" borderId="0" xfId="0" applyFont="1"/>
    <xf numFmtId="0" fontId="0" fillId="0" borderId="0" xfId="0" applyAlignment="1">
      <alignment horizontal="left"/>
    </xf>
    <xf numFmtId="14" fontId="0" fillId="0" borderId="0" xfId="0" applyNumberFormat="1"/>
    <xf numFmtId="0" fontId="5" fillId="0" borderId="0" xfId="0" applyFont="1"/>
    <xf numFmtId="0" fontId="6" fillId="0" borderId="0" xfId="0" applyFon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4" borderId="0" xfId="0" applyFont="1" applyFill="1"/>
    <xf numFmtId="0" fontId="1" fillId="5" borderId="0" xfId="0" applyFont="1" applyFill="1"/>
    <xf numFmtId="0" fontId="2" fillId="4" borderId="0" xfId="0" applyFont="1" applyFill="1" applyAlignment="1">
      <alignment horizontal="left" vertical="center" wrapText="1"/>
    </xf>
    <xf numFmtId="0" fontId="0" fillId="3" borderId="0" xfId="0" applyFill="1" applyAlignment="1">
      <alignment wrapText="1"/>
    </xf>
    <xf numFmtId="0" fontId="7" fillId="0" borderId="0" xfId="0" applyFont="1"/>
    <xf numFmtId="10" fontId="0" fillId="0" borderId="0" xfId="0" applyNumberFormat="1"/>
    <xf numFmtId="0" fontId="0" fillId="0" borderId="0" xfId="0" applyFill="1"/>
    <xf numFmtId="0" fontId="1" fillId="0" borderId="0" xfId="0" applyFont="1" applyFill="1"/>
    <xf numFmtId="9" fontId="0" fillId="0" borderId="0" xfId="0" applyNumberFormat="1"/>
    <xf numFmtId="0" fontId="8" fillId="6" borderId="0" xfId="0" applyFont="1" applyFill="1"/>
    <xf numFmtId="9" fontId="0" fillId="0" borderId="0" xfId="0" applyNumberFormat="1" applyFill="1"/>
    <xf numFmtId="0" fontId="5" fillId="0" borderId="0" xfId="0" applyFont="1" applyFill="1"/>
    <xf numFmtId="0" fontId="14" fillId="0" borderId="0" xfId="0" applyFont="1" applyFill="1"/>
    <xf numFmtId="0" fontId="0" fillId="4" borderId="0" xfId="0" applyFont="1" applyFill="1"/>
    <xf numFmtId="0" fontId="3" fillId="0" borderId="0" xfId="0" applyFont="1" applyAlignment="1"/>
    <xf numFmtId="164" fontId="0" fillId="0" borderId="0" xfId="0" applyNumberFormat="1"/>
    <xf numFmtId="0" fontId="0" fillId="0" borderId="0" xfId="0" applyAlignment="1">
      <alignment horizontal="left" vertical="top" wrapText="1"/>
    </xf>
    <xf numFmtId="0" fontId="15" fillId="7" borderId="0" xfId="0" applyFont="1" applyFill="1" applyAlignment="1">
      <alignment vertical="center" textRotation="255" wrapText="1"/>
    </xf>
    <xf numFmtId="0" fontId="17" fillId="7" borderId="0" xfId="0" applyFont="1" applyFill="1" applyAlignment="1">
      <alignment horizontal="center" vertical="center" textRotation="255"/>
    </xf>
    <xf numFmtId="0" fontId="16" fillId="7" borderId="0" xfId="0" applyFont="1" applyFill="1" applyAlignment="1">
      <alignment horizontal="center" vertical="center" textRotation="255"/>
    </xf>
    <xf numFmtId="0" fontId="13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Q543"/>
  <sheetViews>
    <sheetView tabSelected="1" topLeftCell="A250" zoomScale="110" zoomScaleNormal="110" workbookViewId="0">
      <selection activeCell="E34" sqref="E34"/>
    </sheetView>
  </sheetViews>
  <sheetFormatPr baseColWidth="10" defaultRowHeight="15" x14ac:dyDescent="0.25"/>
  <cols>
    <col min="1" max="1" width="20" bestFit="1" customWidth="1"/>
    <col min="2" max="2" width="28.7109375" bestFit="1" customWidth="1"/>
    <col min="3" max="3" width="28.42578125" bestFit="1" customWidth="1"/>
    <col min="4" max="4" width="16.140625" bestFit="1" customWidth="1"/>
    <col min="5" max="5" width="14.42578125" bestFit="1" customWidth="1"/>
  </cols>
  <sheetData>
    <row r="2" spans="1:6" ht="33.75" x14ac:dyDescent="0.5">
      <c r="A2" s="27" t="s">
        <v>188</v>
      </c>
      <c r="B2" s="27"/>
      <c r="C2" s="27"/>
    </row>
    <row r="5" spans="1:6" x14ac:dyDescent="0.25">
      <c r="A5" s="1" t="s">
        <v>69</v>
      </c>
    </row>
    <row r="6" spans="1:6" x14ac:dyDescent="0.25">
      <c r="A6" s="29" t="s">
        <v>189</v>
      </c>
      <c r="B6" s="29"/>
      <c r="C6" s="29"/>
    </row>
    <row r="7" spans="1:6" x14ac:dyDescent="0.25">
      <c r="A7" t="s">
        <v>70</v>
      </c>
    </row>
    <row r="9" spans="1:6" ht="28.5" x14ac:dyDescent="0.45">
      <c r="A9" s="2" t="s">
        <v>71</v>
      </c>
    </row>
    <row r="10" spans="1:6" x14ac:dyDescent="0.25">
      <c r="A10" s="1" t="s">
        <v>72</v>
      </c>
      <c r="B10" s="1" t="s">
        <v>73</v>
      </c>
      <c r="C10" s="1" t="s">
        <v>74</v>
      </c>
      <c r="D10" s="1" t="s">
        <v>75</v>
      </c>
      <c r="F10" t="s">
        <v>138</v>
      </c>
    </row>
    <row r="11" spans="1:6" x14ac:dyDescent="0.25">
      <c r="C11" s="3"/>
    </row>
    <row r="12" spans="1:6" x14ac:dyDescent="0.25">
      <c r="C12" s="3"/>
    </row>
    <row r="14" spans="1:6" x14ac:dyDescent="0.25">
      <c r="A14" s="1" t="s">
        <v>76</v>
      </c>
    </row>
    <row r="16" spans="1:6" x14ac:dyDescent="0.25">
      <c r="A16" s="1" t="s">
        <v>77</v>
      </c>
      <c r="B16" t="s">
        <v>190</v>
      </c>
    </row>
    <row r="18" spans="1:8" x14ac:dyDescent="0.25">
      <c r="A18" s="1" t="s">
        <v>78</v>
      </c>
      <c r="B18" s="4"/>
    </row>
    <row r="19" spans="1:8" x14ac:dyDescent="0.25">
      <c r="A19" s="1" t="s">
        <v>79</v>
      </c>
      <c r="B19" s="4"/>
    </row>
    <row r="21" spans="1:8" x14ac:dyDescent="0.25">
      <c r="A21" s="1" t="s">
        <v>80</v>
      </c>
      <c r="B21" t="s">
        <v>191</v>
      </c>
    </row>
    <row r="22" spans="1:8" x14ac:dyDescent="0.25">
      <c r="A22" s="1" t="s">
        <v>81</v>
      </c>
      <c r="B22" t="s">
        <v>192</v>
      </c>
    </row>
    <row r="25" spans="1:8" ht="23.25" x14ac:dyDescent="0.35">
      <c r="A25" s="6" t="s">
        <v>82</v>
      </c>
    </row>
    <row r="27" spans="1:8" ht="18.75" x14ac:dyDescent="0.3">
      <c r="A27" s="5" t="s">
        <v>83</v>
      </c>
      <c r="E27" s="5" t="s">
        <v>84</v>
      </c>
    </row>
    <row r="28" spans="1:8" x14ac:dyDescent="0.25">
      <c r="A28" s="11"/>
      <c r="B28" s="11" t="s">
        <v>139</v>
      </c>
      <c r="C28" s="11"/>
      <c r="D28" s="11"/>
      <c r="E28" s="11">
        <v>-100</v>
      </c>
      <c r="F28" s="11">
        <v>0</v>
      </c>
      <c r="H28" t="s">
        <v>338</v>
      </c>
    </row>
    <row r="29" spans="1:8" x14ac:dyDescent="0.25">
      <c r="A29" s="12"/>
      <c r="B29" s="12" t="s">
        <v>139</v>
      </c>
      <c r="C29" s="12"/>
      <c r="D29" s="12"/>
      <c r="E29" s="12">
        <v>-100</v>
      </c>
      <c r="F29" s="11">
        <v>0</v>
      </c>
      <c r="H29" t="s">
        <v>338</v>
      </c>
    </row>
    <row r="30" spans="1:8" x14ac:dyDescent="0.25">
      <c r="A30" s="10"/>
      <c r="B30" s="10" t="s">
        <v>139</v>
      </c>
      <c r="C30" s="10"/>
      <c r="D30" s="10"/>
      <c r="E30" s="10">
        <v>-100</v>
      </c>
      <c r="F30" s="11">
        <v>0</v>
      </c>
      <c r="H30" t="s">
        <v>338</v>
      </c>
    </row>
    <row r="31" spans="1:8" x14ac:dyDescent="0.25">
      <c r="A31" s="10"/>
      <c r="B31" s="10" t="s">
        <v>140</v>
      </c>
      <c r="C31" s="10"/>
      <c r="D31" s="10"/>
      <c r="E31" s="10">
        <v>-100</v>
      </c>
      <c r="F31" s="11">
        <v>0</v>
      </c>
      <c r="H31" t="s">
        <v>339</v>
      </c>
    </row>
    <row r="32" spans="1:8" x14ac:dyDescent="0.25">
      <c r="A32" s="12"/>
      <c r="B32" s="12" t="s">
        <v>140</v>
      </c>
      <c r="C32" s="12"/>
      <c r="D32" s="12"/>
      <c r="E32" s="12">
        <v>-100</v>
      </c>
      <c r="F32" s="11">
        <v>0</v>
      </c>
      <c r="H32" t="s">
        <v>339</v>
      </c>
    </row>
    <row r="33" spans="1:8" s="19" customFormat="1" x14ac:dyDescent="0.25">
      <c r="A33" s="11"/>
      <c r="B33" s="11" t="s">
        <v>140</v>
      </c>
      <c r="C33" s="11"/>
      <c r="D33" s="11"/>
      <c r="E33" s="11">
        <v>-100</v>
      </c>
      <c r="F33" s="11">
        <v>0</v>
      </c>
      <c r="H33" t="s">
        <v>339</v>
      </c>
    </row>
    <row r="34" spans="1:8" s="19" customFormat="1" x14ac:dyDescent="0.25"/>
    <row r="35" spans="1:8" s="19" customFormat="1" ht="18.75" x14ac:dyDescent="0.3">
      <c r="A35" s="24" t="s">
        <v>284</v>
      </c>
    </row>
    <row r="36" spans="1:8" x14ac:dyDescent="0.25">
      <c r="A36" s="13" t="s">
        <v>0</v>
      </c>
      <c r="B36" s="11" t="s">
        <v>2</v>
      </c>
      <c r="C36" s="11"/>
      <c r="D36" s="11"/>
      <c r="E36" s="11"/>
      <c r="F36" s="11">
        <v>10</v>
      </c>
    </row>
    <row r="37" spans="1:8" x14ac:dyDescent="0.25">
      <c r="A37" s="13"/>
      <c r="B37" s="11" t="s">
        <v>27</v>
      </c>
      <c r="C37" s="11"/>
      <c r="D37" s="11"/>
      <c r="E37" s="11"/>
      <c r="F37" s="11">
        <v>10</v>
      </c>
    </row>
    <row r="38" spans="1:8" x14ac:dyDescent="0.25">
      <c r="A38" s="11"/>
      <c r="B38" s="11" t="s">
        <v>3</v>
      </c>
      <c r="C38" s="11"/>
      <c r="D38" s="11"/>
      <c r="E38" s="11"/>
      <c r="F38" s="11">
        <v>10</v>
      </c>
      <c r="G38" s="19"/>
    </row>
    <row r="39" spans="1:8" x14ac:dyDescent="0.25">
      <c r="A39" s="11"/>
      <c r="B39" s="11" t="s">
        <v>4</v>
      </c>
      <c r="C39" s="11"/>
      <c r="D39" s="11"/>
      <c r="E39" s="11"/>
      <c r="F39" s="11">
        <v>10</v>
      </c>
    </row>
    <row r="40" spans="1:8" x14ac:dyDescent="0.25">
      <c r="A40" s="11"/>
      <c r="B40" s="11" t="s">
        <v>5</v>
      </c>
      <c r="C40" s="11"/>
      <c r="D40" s="11"/>
      <c r="E40" s="11"/>
      <c r="F40" s="11">
        <v>10</v>
      </c>
    </row>
    <row r="41" spans="1:8" x14ac:dyDescent="0.25">
      <c r="A41" s="11"/>
      <c r="B41" s="11" t="s">
        <v>340</v>
      </c>
      <c r="C41" s="11"/>
      <c r="D41" s="11"/>
      <c r="E41" s="11"/>
      <c r="F41" s="11">
        <v>10</v>
      </c>
    </row>
    <row r="42" spans="1:8" x14ac:dyDescent="0.25">
      <c r="A42" s="13"/>
      <c r="B42" s="11" t="s">
        <v>1</v>
      </c>
      <c r="C42" s="11" t="s">
        <v>230</v>
      </c>
      <c r="D42" s="11"/>
      <c r="E42" s="11"/>
      <c r="F42" s="11">
        <v>4</v>
      </c>
    </row>
    <row r="43" spans="1:8" x14ac:dyDescent="0.25">
      <c r="A43" s="13"/>
      <c r="B43" s="11"/>
      <c r="C43" s="11" t="s">
        <v>172</v>
      </c>
      <c r="D43" s="11"/>
      <c r="E43" s="11"/>
      <c r="F43" s="11">
        <v>6</v>
      </c>
    </row>
    <row r="44" spans="1:8" x14ac:dyDescent="0.25">
      <c r="A44" s="11"/>
      <c r="B44" s="11"/>
      <c r="C44" s="11" t="s">
        <v>173</v>
      </c>
      <c r="D44" s="11"/>
      <c r="E44" s="11"/>
      <c r="F44" s="11">
        <v>10</v>
      </c>
    </row>
    <row r="45" spans="1:8" x14ac:dyDescent="0.25">
      <c r="A45" s="11"/>
      <c r="B45" s="11"/>
      <c r="C45" s="11" t="s">
        <v>174</v>
      </c>
      <c r="D45" s="11"/>
      <c r="E45" s="11"/>
      <c r="F45" s="11">
        <v>5</v>
      </c>
    </row>
    <row r="46" spans="1:8" x14ac:dyDescent="0.25">
      <c r="A46" s="11"/>
      <c r="B46" s="11"/>
      <c r="C46" s="11" t="s">
        <v>229</v>
      </c>
      <c r="D46" s="11"/>
      <c r="E46" s="11"/>
      <c r="F46" s="11">
        <v>5</v>
      </c>
    </row>
    <row r="47" spans="1:8" x14ac:dyDescent="0.25">
      <c r="A47" s="11"/>
      <c r="B47" s="11"/>
      <c r="C47" s="11" t="s">
        <v>169</v>
      </c>
      <c r="D47" s="11"/>
      <c r="E47" s="11"/>
      <c r="F47" s="11">
        <v>5</v>
      </c>
    </row>
    <row r="48" spans="1:8" x14ac:dyDescent="0.25">
      <c r="A48" s="11"/>
      <c r="B48" s="11"/>
      <c r="C48" s="11" t="s">
        <v>170</v>
      </c>
      <c r="D48" s="11"/>
      <c r="E48" s="11"/>
      <c r="F48" s="11">
        <v>5</v>
      </c>
    </row>
    <row r="49" spans="1:12" x14ac:dyDescent="0.25">
      <c r="A49" s="11"/>
      <c r="B49" s="11"/>
      <c r="C49" s="11"/>
      <c r="D49" s="22" t="s">
        <v>209</v>
      </c>
      <c r="E49" s="22">
        <f>-SUM(E36:E48)</f>
        <v>0</v>
      </c>
      <c r="F49" s="11"/>
    </row>
    <row r="50" spans="1:12" x14ac:dyDescent="0.25">
      <c r="A50" s="11"/>
      <c r="E50">
        <f>SUM(E36:E49)</f>
        <v>0</v>
      </c>
      <c r="F50">
        <f>SUM(F36:F48)</f>
        <v>100</v>
      </c>
    </row>
    <row r="52" spans="1:12" s="5" customFormat="1" ht="18.75" x14ac:dyDescent="0.3">
      <c r="A52" s="5" t="s">
        <v>342</v>
      </c>
      <c r="K52"/>
      <c r="L52"/>
    </row>
    <row r="53" spans="1:12" x14ac:dyDescent="0.25">
      <c r="A53" s="14" t="s">
        <v>112</v>
      </c>
      <c r="B53" s="14" t="s">
        <v>251</v>
      </c>
      <c r="C53" s="12" t="s">
        <v>285</v>
      </c>
      <c r="D53" s="12"/>
      <c r="E53" s="12"/>
      <c r="F53" s="12">
        <v>10</v>
      </c>
      <c r="G53" s="30" t="s">
        <v>341</v>
      </c>
    </row>
    <row r="54" spans="1:12" x14ac:dyDescent="0.25">
      <c r="A54" s="14"/>
      <c r="B54" s="14" t="s">
        <v>239</v>
      </c>
      <c r="C54" s="12" t="s">
        <v>113</v>
      </c>
      <c r="D54" s="12"/>
      <c r="E54" s="12"/>
      <c r="F54" s="12">
        <v>5</v>
      </c>
      <c r="G54" s="30"/>
    </row>
    <row r="55" spans="1:12" x14ac:dyDescent="0.25">
      <c r="A55" s="14"/>
      <c r="B55" s="14"/>
      <c r="C55" s="12" t="s">
        <v>43</v>
      </c>
      <c r="D55" s="12"/>
      <c r="E55" s="12"/>
      <c r="F55" s="12">
        <v>5</v>
      </c>
      <c r="G55" s="30"/>
    </row>
    <row r="56" spans="1:12" x14ac:dyDescent="0.25">
      <c r="A56" s="14"/>
      <c r="B56" s="12"/>
      <c r="C56" s="12" t="s">
        <v>206</v>
      </c>
      <c r="D56" s="12"/>
      <c r="E56" s="12"/>
      <c r="F56" s="12">
        <v>5</v>
      </c>
      <c r="G56" s="30"/>
    </row>
    <row r="57" spans="1:12" x14ac:dyDescent="0.25">
      <c r="A57" s="14"/>
      <c r="B57" s="14"/>
      <c r="C57" s="12" t="s">
        <v>114</v>
      </c>
      <c r="D57" s="12"/>
      <c r="E57" s="12"/>
      <c r="F57" s="12">
        <v>10</v>
      </c>
      <c r="G57" s="30"/>
    </row>
    <row r="58" spans="1:12" x14ac:dyDescent="0.25">
      <c r="A58" s="14"/>
      <c r="B58" s="14"/>
      <c r="C58" s="12" t="s">
        <v>47</v>
      </c>
      <c r="D58" s="12"/>
      <c r="E58" s="12"/>
      <c r="F58" s="12">
        <v>5</v>
      </c>
      <c r="G58" s="30"/>
    </row>
    <row r="59" spans="1:12" x14ac:dyDescent="0.25">
      <c r="A59" s="14"/>
      <c r="B59" s="14"/>
      <c r="C59" s="12" t="s">
        <v>46</v>
      </c>
      <c r="D59" s="12"/>
      <c r="E59" s="12"/>
      <c r="F59" s="12">
        <v>15</v>
      </c>
      <c r="G59" s="30"/>
    </row>
    <row r="60" spans="1:12" x14ac:dyDescent="0.25">
      <c r="A60" s="14"/>
      <c r="B60" s="14"/>
      <c r="C60" s="12" t="s">
        <v>115</v>
      </c>
      <c r="D60" s="12"/>
      <c r="E60" s="12"/>
      <c r="F60" s="12">
        <v>5</v>
      </c>
      <c r="G60" s="30"/>
    </row>
    <row r="61" spans="1:12" x14ac:dyDescent="0.25">
      <c r="A61" s="14"/>
      <c r="B61" s="14"/>
      <c r="C61" s="12" t="s">
        <v>116</v>
      </c>
      <c r="D61" s="12"/>
      <c r="E61" s="12"/>
      <c r="F61" s="12">
        <v>10</v>
      </c>
      <c r="G61" s="30"/>
    </row>
    <row r="62" spans="1:12" x14ac:dyDescent="0.25">
      <c r="A62" s="14"/>
      <c r="B62" s="14"/>
      <c r="C62" s="12" t="s">
        <v>117</v>
      </c>
      <c r="D62" s="12"/>
      <c r="E62" s="12"/>
      <c r="F62" s="12">
        <v>5</v>
      </c>
      <c r="G62" s="30"/>
    </row>
    <row r="63" spans="1:12" x14ac:dyDescent="0.25">
      <c r="A63" s="14"/>
      <c r="B63" s="14" t="s">
        <v>226</v>
      </c>
      <c r="C63" s="12" t="s">
        <v>291</v>
      </c>
      <c r="D63" s="12"/>
      <c r="E63" s="12"/>
      <c r="F63" s="12">
        <v>5</v>
      </c>
      <c r="G63" s="30"/>
    </row>
    <row r="64" spans="1:12" x14ac:dyDescent="0.25">
      <c r="A64" s="14"/>
      <c r="B64" s="14"/>
      <c r="C64" s="12" t="s">
        <v>292</v>
      </c>
      <c r="D64" s="12"/>
      <c r="E64" s="12"/>
      <c r="F64" s="12">
        <v>20</v>
      </c>
      <c r="G64" s="30"/>
    </row>
    <row r="65" spans="1:13" x14ac:dyDescent="0.25">
      <c r="A65" s="14"/>
      <c r="B65" s="14"/>
      <c r="C65" s="12" t="s">
        <v>118</v>
      </c>
      <c r="D65" s="12"/>
      <c r="E65" s="12"/>
      <c r="F65" s="12">
        <v>10</v>
      </c>
      <c r="G65" s="30"/>
    </row>
    <row r="66" spans="1:13" x14ac:dyDescent="0.25">
      <c r="A66" s="14"/>
      <c r="B66" s="14"/>
      <c r="C66" s="12"/>
      <c r="D66" s="22" t="s">
        <v>209</v>
      </c>
      <c r="E66" s="22">
        <f>-SUM(E53:E65)</f>
        <v>0</v>
      </c>
      <c r="F66" s="12"/>
      <c r="G66" s="30"/>
    </row>
    <row r="67" spans="1:13" ht="18.75" x14ac:dyDescent="0.3">
      <c r="A67" s="1"/>
      <c r="B67" s="1"/>
      <c r="D67" s="19"/>
      <c r="E67">
        <f>-SUM(E53:E66)</f>
        <v>0</v>
      </c>
      <c r="F67">
        <f>SUM(F53:F65)</f>
        <v>110</v>
      </c>
      <c r="L67" s="5"/>
      <c r="M67" s="5"/>
    </row>
    <row r="68" spans="1:13" s="5" customFormat="1" ht="18.75" x14ac:dyDescent="0.3">
      <c r="A68" s="5" t="s">
        <v>343</v>
      </c>
      <c r="K68"/>
      <c r="L68"/>
    </row>
    <row r="69" spans="1:13" x14ac:dyDescent="0.25">
      <c r="A69" s="9" t="str">
        <f>$A$68</f>
        <v>Document Manufacturing and Assembly</v>
      </c>
      <c r="B69" s="9" t="s">
        <v>251</v>
      </c>
      <c r="C69" s="10" t="s">
        <v>285</v>
      </c>
      <c r="D69" s="10"/>
      <c r="E69" s="10"/>
      <c r="F69" s="10">
        <v>10</v>
      </c>
    </row>
    <row r="70" spans="1:13" x14ac:dyDescent="0.25">
      <c r="A70" s="9"/>
      <c r="B70" s="9" t="s">
        <v>239</v>
      </c>
      <c r="C70" s="10" t="s">
        <v>42</v>
      </c>
      <c r="D70" s="10"/>
      <c r="E70" s="10"/>
      <c r="F70" s="10">
        <v>5</v>
      </c>
    </row>
    <row r="71" spans="1:13" x14ac:dyDescent="0.25">
      <c r="A71" s="9"/>
      <c r="B71" s="9"/>
      <c r="C71" s="10" t="s">
        <v>307</v>
      </c>
      <c r="D71" s="10"/>
      <c r="E71" s="10"/>
      <c r="F71" s="10">
        <v>5</v>
      </c>
    </row>
    <row r="72" spans="1:13" x14ac:dyDescent="0.25">
      <c r="A72" s="9"/>
      <c r="B72" s="9"/>
      <c r="C72" s="10" t="s">
        <v>59</v>
      </c>
      <c r="D72" s="10"/>
      <c r="E72" s="10"/>
      <c r="F72" s="10">
        <v>5</v>
      </c>
    </row>
    <row r="73" spans="1:13" x14ac:dyDescent="0.25">
      <c r="A73" s="9"/>
      <c r="B73" s="9"/>
      <c r="C73" s="10" t="s">
        <v>308</v>
      </c>
      <c r="D73" s="10"/>
      <c r="E73" s="10"/>
      <c r="F73" s="10">
        <v>10</v>
      </c>
    </row>
    <row r="74" spans="1:13" x14ac:dyDescent="0.25">
      <c r="A74" s="9"/>
      <c r="B74" s="9"/>
      <c r="C74" s="10" t="s">
        <v>309</v>
      </c>
      <c r="D74" s="10"/>
      <c r="E74" s="10"/>
      <c r="F74" s="10">
        <v>5</v>
      </c>
    </row>
    <row r="75" spans="1:13" x14ac:dyDescent="0.25">
      <c r="A75" s="9"/>
      <c r="B75" s="9"/>
      <c r="C75" s="10"/>
      <c r="D75" s="22" t="s">
        <v>209</v>
      </c>
      <c r="E75" s="22">
        <f>-SUM(E69:E74)</f>
        <v>0</v>
      </c>
      <c r="F75" s="10"/>
    </row>
    <row r="76" spans="1:13" x14ac:dyDescent="0.25">
      <c r="A76" s="1"/>
      <c r="B76" s="1"/>
      <c r="D76" s="19"/>
      <c r="E76">
        <f>-SUM(E69:E75)</f>
        <v>0</v>
      </c>
      <c r="F76">
        <f>SUM(F69:F74)</f>
        <v>40</v>
      </c>
    </row>
    <row r="77" spans="1:13" x14ac:dyDescent="0.25">
      <c r="A77" s="1"/>
      <c r="C77" s="19"/>
    </row>
    <row r="78" spans="1:13" ht="18.75" x14ac:dyDescent="0.3">
      <c r="A78" s="5" t="s">
        <v>344</v>
      </c>
      <c r="C78" s="19"/>
    </row>
    <row r="79" spans="1:13" x14ac:dyDescent="0.25">
      <c r="A79" s="13" t="s">
        <v>286</v>
      </c>
      <c r="B79" s="13" t="s">
        <v>251</v>
      </c>
      <c r="C79" s="11" t="s">
        <v>285</v>
      </c>
      <c r="D79" s="11"/>
      <c r="E79" s="11"/>
      <c r="F79" s="11">
        <v>10</v>
      </c>
    </row>
    <row r="80" spans="1:13" x14ac:dyDescent="0.25">
      <c r="A80" s="13"/>
      <c r="B80" s="11"/>
      <c r="C80" s="11" t="s">
        <v>108</v>
      </c>
      <c r="D80" s="11"/>
      <c r="E80" s="11"/>
      <c r="F80" s="11">
        <v>8</v>
      </c>
    </row>
    <row r="81" spans="1:6" x14ac:dyDescent="0.25">
      <c r="A81" s="13"/>
      <c r="B81" s="11"/>
      <c r="C81" s="11" t="s">
        <v>208</v>
      </c>
      <c r="D81" s="11"/>
      <c r="E81" s="11"/>
      <c r="F81" s="11">
        <v>10</v>
      </c>
    </row>
    <row r="82" spans="1:6" x14ac:dyDescent="0.25">
      <c r="A82" s="13"/>
      <c r="B82" s="13" t="s">
        <v>239</v>
      </c>
      <c r="C82" s="11" t="s">
        <v>7</v>
      </c>
      <c r="D82" s="11"/>
      <c r="E82" s="11"/>
      <c r="F82" s="11">
        <v>5</v>
      </c>
    </row>
    <row r="83" spans="1:6" x14ac:dyDescent="0.25">
      <c r="A83" s="13"/>
      <c r="B83" s="13"/>
      <c r="C83" s="11" t="s">
        <v>109</v>
      </c>
      <c r="D83" s="11"/>
      <c r="E83" s="11"/>
      <c r="F83" s="11">
        <v>5</v>
      </c>
    </row>
    <row r="84" spans="1:6" x14ac:dyDescent="0.25">
      <c r="A84" s="13"/>
      <c r="B84" s="13"/>
      <c r="C84" s="11" t="s">
        <v>110</v>
      </c>
      <c r="D84" s="11"/>
      <c r="E84" s="11"/>
      <c r="F84" s="11">
        <v>5</v>
      </c>
    </row>
    <row r="85" spans="1:6" x14ac:dyDescent="0.25">
      <c r="A85" s="13"/>
      <c r="B85" s="13"/>
      <c r="C85" s="11" t="s">
        <v>111</v>
      </c>
      <c r="D85" s="11"/>
      <c r="E85" s="11"/>
      <c r="F85" s="11">
        <v>7</v>
      </c>
    </row>
    <row r="86" spans="1:6" x14ac:dyDescent="0.25">
      <c r="A86" s="13"/>
      <c r="B86" s="13"/>
      <c r="C86" s="13"/>
      <c r="D86" s="22" t="s">
        <v>209</v>
      </c>
      <c r="E86" s="22">
        <f>-SUM(E79:E85)</f>
        <v>0</v>
      </c>
      <c r="F86" s="13"/>
    </row>
    <row r="87" spans="1:6" x14ac:dyDescent="0.25">
      <c r="A87" s="1"/>
      <c r="B87" s="1"/>
      <c r="D87" s="19"/>
      <c r="E87">
        <f>-SUM(E79:E86)</f>
        <v>0</v>
      </c>
      <c r="F87">
        <f>SUM(F79:F85)</f>
        <v>50</v>
      </c>
    </row>
    <row r="88" spans="1:6" ht="13.5" customHeight="1" x14ac:dyDescent="0.25">
      <c r="A88" s="19"/>
      <c r="B88" s="19"/>
      <c r="C88" s="19"/>
      <c r="D88" s="19"/>
      <c r="E88" s="19"/>
      <c r="F88" s="19"/>
    </row>
    <row r="89" spans="1:6" ht="21" x14ac:dyDescent="0.35">
      <c r="A89" s="25" t="s">
        <v>345</v>
      </c>
      <c r="B89" s="19"/>
      <c r="C89" s="19"/>
      <c r="D89" s="19"/>
      <c r="E89" s="19"/>
      <c r="F89" s="19"/>
    </row>
    <row r="90" spans="1:6" ht="18.75" x14ac:dyDescent="0.3">
      <c r="A90" s="5" t="s">
        <v>6</v>
      </c>
    </row>
    <row r="91" spans="1:6" x14ac:dyDescent="0.25">
      <c r="A91" s="14" t="s">
        <v>6</v>
      </c>
      <c r="B91" s="14"/>
      <c r="C91" s="12" t="s">
        <v>7</v>
      </c>
      <c r="D91" s="12"/>
      <c r="E91" s="12"/>
      <c r="F91" s="12">
        <v>5</v>
      </c>
    </row>
    <row r="92" spans="1:6" x14ac:dyDescent="0.25">
      <c r="A92" s="12"/>
      <c r="B92" s="12"/>
      <c r="C92" s="12" t="s">
        <v>8</v>
      </c>
      <c r="D92" s="12"/>
      <c r="E92" s="12"/>
      <c r="F92" s="12">
        <v>5</v>
      </c>
    </row>
    <row r="93" spans="1:6" x14ac:dyDescent="0.25">
      <c r="A93" s="12"/>
      <c r="B93" s="12"/>
      <c r="C93" s="12" t="s">
        <v>9</v>
      </c>
      <c r="D93" s="12"/>
      <c r="E93" s="12"/>
      <c r="F93" s="12">
        <v>5</v>
      </c>
    </row>
    <row r="94" spans="1:6" x14ac:dyDescent="0.25">
      <c r="A94" s="12"/>
      <c r="B94" s="12"/>
      <c r="C94" s="12" t="s">
        <v>10</v>
      </c>
      <c r="D94" s="12"/>
      <c r="E94" s="12"/>
      <c r="F94" s="12">
        <v>10</v>
      </c>
    </row>
    <row r="95" spans="1:6" x14ac:dyDescent="0.25">
      <c r="A95" s="12"/>
      <c r="B95" s="12"/>
      <c r="C95" s="12" t="s">
        <v>11</v>
      </c>
      <c r="D95" s="12"/>
      <c r="E95" s="12"/>
      <c r="F95" s="12">
        <v>10</v>
      </c>
    </row>
    <row r="96" spans="1:6" x14ac:dyDescent="0.25">
      <c r="A96" s="12"/>
      <c r="B96" s="12"/>
      <c r="C96" s="12" t="s">
        <v>87</v>
      </c>
      <c r="D96" s="12"/>
      <c r="E96" s="12"/>
      <c r="F96" s="12">
        <v>5</v>
      </c>
    </row>
    <row r="97" spans="1:6" x14ac:dyDescent="0.25">
      <c r="A97" s="12"/>
      <c r="B97" s="12"/>
      <c r="C97" s="12"/>
      <c r="D97" s="22" t="s">
        <v>209</v>
      </c>
      <c r="E97" s="22">
        <f>-SUM(E91:E96)</f>
        <v>0</v>
      </c>
      <c r="F97" s="12"/>
    </row>
    <row r="98" spans="1:6" x14ac:dyDescent="0.25">
      <c r="E98">
        <f>SUM(E91:E97)</f>
        <v>0</v>
      </c>
      <c r="F98">
        <f>SUM(F91:F96)</f>
        <v>40</v>
      </c>
    </row>
    <row r="99" spans="1:6" ht="18.75" x14ac:dyDescent="0.3">
      <c r="A99" s="5" t="s">
        <v>248</v>
      </c>
    </row>
    <row r="100" spans="1:6" x14ac:dyDescent="0.25">
      <c r="A100" s="9" t="s">
        <v>276</v>
      </c>
      <c r="B100" s="10" t="s">
        <v>276</v>
      </c>
      <c r="C100" s="10"/>
      <c r="D100" s="10"/>
      <c r="E100" s="10"/>
      <c r="F100" s="10">
        <v>5</v>
      </c>
    </row>
    <row r="101" spans="1:6" x14ac:dyDescent="0.25">
      <c r="A101" s="9"/>
      <c r="B101" s="10" t="s">
        <v>13</v>
      </c>
      <c r="C101" s="10"/>
      <c r="D101" s="10"/>
      <c r="E101" s="10"/>
      <c r="F101" s="10">
        <v>5</v>
      </c>
    </row>
    <row r="102" spans="1:6" x14ac:dyDescent="0.25">
      <c r="A102" s="10"/>
      <c r="B102" s="10" t="s">
        <v>14</v>
      </c>
      <c r="C102" s="10"/>
      <c r="D102" s="10"/>
      <c r="E102" s="10"/>
      <c r="F102" s="10">
        <v>5</v>
      </c>
    </row>
    <row r="103" spans="1:6" x14ac:dyDescent="0.25">
      <c r="A103" s="10"/>
      <c r="B103" s="10" t="s">
        <v>15</v>
      </c>
      <c r="C103" s="10"/>
      <c r="D103" s="10"/>
      <c r="E103" s="10"/>
      <c r="F103" s="10">
        <v>5</v>
      </c>
    </row>
    <row r="104" spans="1:6" x14ac:dyDescent="0.25">
      <c r="A104" s="10"/>
      <c r="B104" s="10" t="s">
        <v>16</v>
      </c>
      <c r="C104" s="10"/>
      <c r="D104" s="10"/>
      <c r="E104" s="10"/>
      <c r="F104" s="10">
        <v>5</v>
      </c>
    </row>
    <row r="105" spans="1:6" x14ac:dyDescent="0.25">
      <c r="A105" s="10"/>
      <c r="B105" s="10" t="s">
        <v>17</v>
      </c>
      <c r="C105" s="10"/>
      <c r="D105" s="10"/>
      <c r="E105" s="10"/>
      <c r="F105" s="10">
        <v>5</v>
      </c>
    </row>
    <row r="106" spans="1:6" x14ac:dyDescent="0.25">
      <c r="A106" s="10"/>
      <c r="B106" s="10" t="s">
        <v>19</v>
      </c>
      <c r="C106" s="10"/>
      <c r="D106" s="10"/>
      <c r="E106" s="10"/>
      <c r="F106" s="10">
        <v>5</v>
      </c>
    </row>
    <row r="107" spans="1:6" x14ac:dyDescent="0.25">
      <c r="A107" s="10"/>
      <c r="B107" s="16" t="s">
        <v>18</v>
      </c>
      <c r="C107" s="10"/>
      <c r="D107" s="10"/>
      <c r="E107" s="10"/>
      <c r="F107" s="10">
        <v>5</v>
      </c>
    </row>
    <row r="108" spans="1:6" x14ac:dyDescent="0.25">
      <c r="A108" s="10"/>
      <c r="B108" s="16"/>
      <c r="C108" s="10"/>
      <c r="D108" s="22" t="s">
        <v>209</v>
      </c>
      <c r="E108" s="22">
        <f>-SUM(E100:E107)</f>
        <v>0</v>
      </c>
    </row>
    <row r="109" spans="1:6" x14ac:dyDescent="0.25">
      <c r="E109">
        <f>SUM(E100:E108)</f>
        <v>0</v>
      </c>
      <c r="F109">
        <f>SUM(F100:F107)</f>
        <v>40</v>
      </c>
    </row>
    <row r="113" spans="1:7" x14ac:dyDescent="0.25">
      <c r="A113" s="13" t="s">
        <v>302</v>
      </c>
      <c r="B113" s="11" t="s">
        <v>5</v>
      </c>
      <c r="C113" s="11" t="s">
        <v>356</v>
      </c>
      <c r="D113" s="11" t="s">
        <v>316</v>
      </c>
      <c r="E113" s="11" t="s">
        <v>287</v>
      </c>
      <c r="F113" s="11">
        <v>20</v>
      </c>
      <c r="G113" s="31" t="s">
        <v>96</v>
      </c>
    </row>
    <row r="114" spans="1:7" x14ac:dyDescent="0.25">
      <c r="A114" s="13" t="s">
        <v>298</v>
      </c>
      <c r="B114" s="11"/>
      <c r="C114" s="11" t="s">
        <v>117</v>
      </c>
      <c r="D114" s="11"/>
      <c r="E114" s="11" t="s">
        <v>287</v>
      </c>
      <c r="F114" s="11">
        <v>10</v>
      </c>
      <c r="G114" s="31"/>
    </row>
    <row r="115" spans="1:7" x14ac:dyDescent="0.25">
      <c r="A115" s="11"/>
      <c r="B115" s="11"/>
      <c r="C115" s="11" t="s">
        <v>97</v>
      </c>
      <c r="D115" s="11"/>
      <c r="E115" s="11" t="s">
        <v>287</v>
      </c>
      <c r="F115" s="11">
        <v>10</v>
      </c>
      <c r="G115" s="31"/>
    </row>
    <row r="116" spans="1:7" x14ac:dyDescent="0.25">
      <c r="A116" s="11"/>
      <c r="B116" s="11"/>
      <c r="C116" s="11" t="s">
        <v>98</v>
      </c>
      <c r="D116" s="11"/>
      <c r="E116" s="11" t="s">
        <v>287</v>
      </c>
      <c r="F116" s="11">
        <v>10</v>
      </c>
      <c r="G116" s="31"/>
    </row>
    <row r="117" spans="1:7" x14ac:dyDescent="0.25">
      <c r="A117" s="13"/>
      <c r="B117" s="11"/>
      <c r="C117" s="11" t="s">
        <v>357</v>
      </c>
      <c r="D117" s="11"/>
      <c r="E117" s="11" t="s">
        <v>287</v>
      </c>
      <c r="F117" s="11">
        <v>10</v>
      </c>
      <c r="G117" s="31"/>
    </row>
    <row r="118" spans="1:7" x14ac:dyDescent="0.25">
      <c r="A118" s="11"/>
      <c r="B118" s="11"/>
      <c r="C118" s="11" t="s">
        <v>100</v>
      </c>
      <c r="D118" s="11" t="s">
        <v>101</v>
      </c>
      <c r="E118" s="11" t="s">
        <v>287</v>
      </c>
      <c r="F118" s="11">
        <v>10</v>
      </c>
      <c r="G118" s="31"/>
    </row>
    <row r="119" spans="1:7" x14ac:dyDescent="0.25">
      <c r="A119" s="11"/>
      <c r="B119" s="11"/>
      <c r="C119" s="11"/>
      <c r="D119" s="11" t="s">
        <v>102</v>
      </c>
      <c r="E119" s="11" t="s">
        <v>287</v>
      </c>
      <c r="F119" s="11">
        <v>10</v>
      </c>
      <c r="G119" s="31"/>
    </row>
    <row r="120" spans="1:7" x14ac:dyDescent="0.25">
      <c r="A120" s="13"/>
      <c r="B120" s="11"/>
      <c r="C120" s="11"/>
      <c r="D120" s="11" t="s">
        <v>90</v>
      </c>
      <c r="E120" s="11" t="s">
        <v>287</v>
      </c>
      <c r="F120" s="11">
        <v>10</v>
      </c>
      <c r="G120" s="31"/>
    </row>
    <row r="121" spans="1:7" x14ac:dyDescent="0.25">
      <c r="A121" s="13"/>
      <c r="B121" s="11"/>
      <c r="C121" s="11"/>
      <c r="D121" s="11" t="s">
        <v>12</v>
      </c>
      <c r="E121" s="11" t="s">
        <v>287</v>
      </c>
      <c r="F121" s="11">
        <v>10</v>
      </c>
      <c r="G121" s="31"/>
    </row>
    <row r="122" spans="1:7" x14ac:dyDescent="0.25">
      <c r="A122" s="13"/>
      <c r="B122" s="11"/>
      <c r="C122" s="11" t="s">
        <v>300</v>
      </c>
      <c r="D122" s="11"/>
      <c r="E122" s="11" t="s">
        <v>287</v>
      </c>
      <c r="F122" s="11">
        <v>20</v>
      </c>
      <c r="G122" s="31"/>
    </row>
    <row r="123" spans="1:7" x14ac:dyDescent="0.25">
      <c r="A123" s="11"/>
      <c r="B123" s="11"/>
      <c r="C123" s="11"/>
      <c r="D123" s="22" t="s">
        <v>209</v>
      </c>
      <c r="E123" s="22">
        <f>-SUM(E113:E122)</f>
        <v>0</v>
      </c>
      <c r="G123" s="31"/>
    </row>
    <row r="124" spans="1:7" x14ac:dyDescent="0.25">
      <c r="A124" s="19"/>
      <c r="B124" s="19"/>
      <c r="C124" s="19"/>
      <c r="E124">
        <f>SUM(E117:E123)</f>
        <v>0</v>
      </c>
      <c r="F124" s="19">
        <f>SUM(F113:F122)</f>
        <v>120</v>
      </c>
      <c r="G124" s="31"/>
    </row>
    <row r="125" spans="1:7" x14ac:dyDescent="0.25">
      <c r="A125" s="19"/>
      <c r="B125" s="19"/>
      <c r="C125" s="19"/>
      <c r="F125" s="19"/>
      <c r="G125" s="31"/>
    </row>
    <row r="126" spans="1:7" x14ac:dyDescent="0.25">
      <c r="A126" s="14" t="s">
        <v>301</v>
      </c>
      <c r="B126" s="12" t="s">
        <v>5</v>
      </c>
      <c r="C126" s="12" t="s">
        <v>346</v>
      </c>
      <c r="D126" s="12"/>
      <c r="E126" s="12" t="s">
        <v>287</v>
      </c>
      <c r="F126" s="12">
        <v>10</v>
      </c>
      <c r="G126" s="31"/>
    </row>
    <row r="127" spans="1:7" x14ac:dyDescent="0.25">
      <c r="A127" s="14" t="s">
        <v>355</v>
      </c>
      <c r="B127" s="12"/>
      <c r="C127" s="12" t="s">
        <v>347</v>
      </c>
      <c r="D127" s="12"/>
      <c r="E127" s="12"/>
      <c r="F127" s="12">
        <v>7</v>
      </c>
      <c r="G127" s="31"/>
    </row>
    <row r="128" spans="1:7" x14ac:dyDescent="0.25">
      <c r="A128" s="14"/>
      <c r="B128" s="12"/>
      <c r="C128" s="12" t="s">
        <v>349</v>
      </c>
      <c r="D128" s="12"/>
      <c r="E128" s="12"/>
      <c r="F128" s="12">
        <v>10</v>
      </c>
      <c r="G128" s="31"/>
    </row>
    <row r="129" spans="1:7" x14ac:dyDescent="0.25">
      <c r="A129" s="14"/>
      <c r="B129" s="12"/>
      <c r="C129" s="12" t="s">
        <v>348</v>
      </c>
      <c r="D129" s="12"/>
      <c r="E129" s="12" t="s">
        <v>287</v>
      </c>
      <c r="F129" s="12">
        <v>10</v>
      </c>
      <c r="G129" s="31"/>
    </row>
    <row r="130" spans="1:7" x14ac:dyDescent="0.25">
      <c r="A130" s="12"/>
      <c r="B130" s="12"/>
      <c r="C130" s="12" t="s">
        <v>350</v>
      </c>
      <c r="D130" s="12"/>
      <c r="E130" s="12" t="s">
        <v>287</v>
      </c>
      <c r="F130" s="12">
        <v>10</v>
      </c>
      <c r="G130" s="31"/>
    </row>
    <row r="131" spans="1:7" x14ac:dyDescent="0.25">
      <c r="A131" s="12"/>
      <c r="B131" s="12"/>
      <c r="C131" s="12" t="s">
        <v>351</v>
      </c>
      <c r="D131" s="12"/>
      <c r="E131" s="12" t="s">
        <v>287</v>
      </c>
      <c r="F131" s="12">
        <v>8</v>
      </c>
      <c r="G131" s="31"/>
    </row>
    <row r="132" spans="1:7" x14ac:dyDescent="0.25">
      <c r="A132" s="12"/>
      <c r="B132" s="12"/>
      <c r="C132" s="12" t="s">
        <v>352</v>
      </c>
      <c r="D132" s="12"/>
      <c r="E132" s="12" t="s">
        <v>287</v>
      </c>
      <c r="F132" s="12">
        <v>8</v>
      </c>
      <c r="G132" s="31"/>
    </row>
    <row r="133" spans="1:7" x14ac:dyDescent="0.25">
      <c r="A133" s="12"/>
      <c r="B133" s="12"/>
      <c r="C133" s="12" t="s">
        <v>107</v>
      </c>
      <c r="D133" s="12"/>
      <c r="E133" s="12"/>
      <c r="F133" s="12">
        <v>7</v>
      </c>
      <c r="G133" s="31"/>
    </row>
    <row r="134" spans="1:7" x14ac:dyDescent="0.25">
      <c r="A134" s="12"/>
      <c r="B134" s="12"/>
      <c r="C134" s="12" t="s">
        <v>353</v>
      </c>
      <c r="D134" s="12"/>
      <c r="E134" s="12" t="s">
        <v>287</v>
      </c>
      <c r="F134" s="12">
        <v>5</v>
      </c>
      <c r="G134" s="31"/>
    </row>
    <row r="135" spans="1:7" x14ac:dyDescent="0.25">
      <c r="A135" s="12"/>
      <c r="B135" s="12"/>
      <c r="C135" s="12"/>
      <c r="D135" s="22" t="s">
        <v>209</v>
      </c>
      <c r="E135" s="22">
        <f>-SUM(E126:E134)</f>
        <v>0</v>
      </c>
      <c r="G135" s="31"/>
    </row>
    <row r="136" spans="1:7" x14ac:dyDescent="0.25">
      <c r="A136" s="19"/>
      <c r="B136" s="19"/>
      <c r="C136" s="19"/>
      <c r="E136">
        <f>SUM(E126:E135)</f>
        <v>0</v>
      </c>
      <c r="F136" s="19">
        <f>SUM(F126:F134)</f>
        <v>75</v>
      </c>
      <c r="G136" s="31"/>
    </row>
    <row r="137" spans="1:7" x14ac:dyDescent="0.25">
      <c r="A137" s="19"/>
      <c r="B137" s="19"/>
      <c r="C137" s="19"/>
      <c r="F137" s="19"/>
      <c r="G137" s="31"/>
    </row>
    <row r="138" spans="1:7" x14ac:dyDescent="0.25">
      <c r="A138" s="9" t="s">
        <v>354</v>
      </c>
      <c r="B138" s="10" t="s">
        <v>5</v>
      </c>
      <c r="C138" s="10" t="str">
        <f t="shared" ref="C138:C146" si="0">C126</f>
        <v>General description of the sensor type</v>
      </c>
      <c r="D138" s="10"/>
      <c r="E138" s="10" t="s">
        <v>287</v>
      </c>
      <c r="F138" s="10">
        <f t="shared" ref="F138:F146" si="1">F126</f>
        <v>10</v>
      </c>
      <c r="G138" s="31"/>
    </row>
    <row r="139" spans="1:7" x14ac:dyDescent="0.25">
      <c r="A139" s="10" t="str">
        <f>$A$127</f>
        <v>e.g. camera, IMU, SPI</v>
      </c>
      <c r="B139" s="10"/>
      <c r="C139" s="10" t="str">
        <f t="shared" si="0"/>
        <v>Specific Sensor</v>
      </c>
      <c r="D139" s="10"/>
      <c r="E139" s="10" t="s">
        <v>287</v>
      </c>
      <c r="F139" s="10">
        <f t="shared" si="1"/>
        <v>7</v>
      </c>
      <c r="G139" s="31"/>
    </row>
    <row r="140" spans="1:7" x14ac:dyDescent="0.25">
      <c r="A140" s="10"/>
      <c r="B140" s="10"/>
      <c r="C140" s="10" t="str">
        <f t="shared" si="0"/>
        <v>Specification</v>
      </c>
      <c r="D140" s="10"/>
      <c r="E140" s="10" t="s">
        <v>287</v>
      </c>
      <c r="F140" s="10">
        <f t="shared" si="1"/>
        <v>10</v>
      </c>
      <c r="G140" s="31"/>
    </row>
    <row r="141" spans="1:7" x14ac:dyDescent="0.25">
      <c r="A141" s="9"/>
      <c r="B141" s="10"/>
      <c r="C141" s="10" t="str">
        <f t="shared" si="0"/>
        <v>Library</v>
      </c>
      <c r="D141" s="10"/>
      <c r="E141" s="10" t="s">
        <v>287</v>
      </c>
      <c r="F141" s="10">
        <f t="shared" si="1"/>
        <v>10</v>
      </c>
      <c r="G141" s="31"/>
    </row>
    <row r="142" spans="1:7" x14ac:dyDescent="0.25">
      <c r="A142" s="9"/>
      <c r="B142" s="10"/>
      <c r="C142" s="10" t="str">
        <f t="shared" si="0"/>
        <v>Calibration</v>
      </c>
      <c r="D142" s="10"/>
      <c r="E142" s="10" t="s">
        <v>287</v>
      </c>
      <c r="F142" s="10">
        <f t="shared" si="1"/>
        <v>10</v>
      </c>
      <c r="G142" s="31"/>
    </row>
    <row r="143" spans="1:7" x14ac:dyDescent="0.25">
      <c r="A143" s="9"/>
      <c r="B143" s="10"/>
      <c r="C143" s="10" t="str">
        <f t="shared" si="0"/>
        <v>Simple Code</v>
      </c>
      <c r="D143" s="10"/>
      <c r="E143" s="10"/>
      <c r="F143" s="10">
        <f t="shared" si="1"/>
        <v>8</v>
      </c>
      <c r="G143" s="31"/>
    </row>
    <row r="144" spans="1:7" x14ac:dyDescent="0.25">
      <c r="A144" s="9"/>
      <c r="B144" s="10"/>
      <c r="C144" s="10" t="str">
        <f t="shared" si="0"/>
        <v>Simple Application</v>
      </c>
      <c r="D144" s="10"/>
      <c r="E144" s="10" t="s">
        <v>287</v>
      </c>
      <c r="F144" s="10">
        <f t="shared" si="1"/>
        <v>8</v>
      </c>
      <c r="G144" s="31"/>
    </row>
    <row r="145" spans="1:13" x14ac:dyDescent="0.25">
      <c r="A145" s="10"/>
      <c r="B145" s="10"/>
      <c r="C145" s="10" t="str">
        <f t="shared" si="0"/>
        <v>Tests</v>
      </c>
      <c r="D145" s="10"/>
      <c r="E145" s="10" t="s">
        <v>287</v>
      </c>
      <c r="F145" s="10">
        <f t="shared" si="1"/>
        <v>7</v>
      </c>
      <c r="G145" s="31"/>
    </row>
    <row r="146" spans="1:13" x14ac:dyDescent="0.25">
      <c r="A146" s="10"/>
      <c r="B146" s="10"/>
      <c r="C146" s="10" t="str">
        <f t="shared" si="0"/>
        <v>Further Readings</v>
      </c>
      <c r="D146" s="10"/>
      <c r="E146" s="10" t="s">
        <v>287</v>
      </c>
      <c r="F146" s="10">
        <f t="shared" si="1"/>
        <v>5</v>
      </c>
      <c r="G146" s="31"/>
    </row>
    <row r="147" spans="1:13" x14ac:dyDescent="0.25">
      <c r="A147" s="10"/>
      <c r="B147" s="10"/>
      <c r="C147" s="10"/>
      <c r="D147" s="22" t="s">
        <v>209</v>
      </c>
      <c r="E147" s="22">
        <f>-SUM(E138:E146)</f>
        <v>0</v>
      </c>
      <c r="G147" s="31"/>
    </row>
    <row r="148" spans="1:13" x14ac:dyDescent="0.25">
      <c r="A148" s="19"/>
      <c r="B148" s="19"/>
      <c r="C148" s="19"/>
      <c r="E148">
        <f>SUM(E138:E147)</f>
        <v>0</v>
      </c>
      <c r="F148" s="19">
        <f>SUM(F138:F146)</f>
        <v>75</v>
      </c>
      <c r="G148" s="31"/>
    </row>
    <row r="149" spans="1:13" x14ac:dyDescent="0.25">
      <c r="A149" s="13" t="str">
        <f t="shared" ref="A149:A150" si="2">A138</f>
        <v>domain sensor/actor</v>
      </c>
      <c r="B149" s="13" t="str">
        <f>$B$138</f>
        <v>description</v>
      </c>
      <c r="C149" s="11" t="str">
        <f t="shared" ref="C149:C157" si="3">C138</f>
        <v>General description of the sensor type</v>
      </c>
      <c r="D149" s="11"/>
      <c r="E149" s="11"/>
      <c r="F149" s="11">
        <f t="shared" ref="F149:F157" si="4">F138</f>
        <v>10</v>
      </c>
      <c r="G149" s="31"/>
    </row>
    <row r="150" spans="1:13" x14ac:dyDescent="0.25">
      <c r="A150" s="13" t="str">
        <f t="shared" si="2"/>
        <v>e.g. camera, IMU, SPI</v>
      </c>
      <c r="B150" s="13"/>
      <c r="C150" s="11" t="str">
        <f t="shared" si="3"/>
        <v>Specific Sensor</v>
      </c>
      <c r="D150" s="11"/>
      <c r="E150" s="11"/>
      <c r="F150" s="11">
        <f t="shared" si="4"/>
        <v>7</v>
      </c>
      <c r="G150" s="31"/>
    </row>
    <row r="151" spans="1:13" x14ac:dyDescent="0.25">
      <c r="A151" s="13"/>
      <c r="B151" s="13"/>
      <c r="C151" s="11" t="str">
        <f t="shared" si="3"/>
        <v>Specification</v>
      </c>
      <c r="D151" s="11"/>
      <c r="E151" s="11"/>
      <c r="F151" s="11">
        <f t="shared" si="4"/>
        <v>10</v>
      </c>
      <c r="G151" s="31"/>
    </row>
    <row r="152" spans="1:13" x14ac:dyDescent="0.25">
      <c r="A152" s="13"/>
      <c r="B152" s="13"/>
      <c r="C152" s="11" t="str">
        <f t="shared" si="3"/>
        <v>Library</v>
      </c>
      <c r="D152" s="11"/>
      <c r="E152" s="11"/>
      <c r="F152" s="11">
        <f t="shared" si="4"/>
        <v>10</v>
      </c>
      <c r="G152" s="31"/>
    </row>
    <row r="153" spans="1:13" x14ac:dyDescent="0.25">
      <c r="A153" s="13"/>
      <c r="B153" s="13"/>
      <c r="C153" s="11" t="str">
        <f t="shared" si="3"/>
        <v>Calibration</v>
      </c>
      <c r="D153" s="11"/>
      <c r="E153" s="11"/>
      <c r="F153" s="11">
        <f t="shared" si="4"/>
        <v>10</v>
      </c>
      <c r="G153" s="31"/>
    </row>
    <row r="154" spans="1:13" x14ac:dyDescent="0.25">
      <c r="A154" s="13"/>
      <c r="B154" s="13"/>
      <c r="C154" s="11" t="str">
        <f t="shared" si="3"/>
        <v>Simple Code</v>
      </c>
      <c r="D154" s="11"/>
      <c r="E154" s="11"/>
      <c r="F154" s="11">
        <f t="shared" si="4"/>
        <v>8</v>
      </c>
      <c r="G154" s="31"/>
    </row>
    <row r="155" spans="1:13" x14ac:dyDescent="0.25">
      <c r="A155" s="13"/>
      <c r="B155" s="13"/>
      <c r="C155" s="11" t="str">
        <f t="shared" si="3"/>
        <v>Simple Application</v>
      </c>
      <c r="D155" s="11"/>
      <c r="E155" s="11"/>
      <c r="F155" s="11">
        <f t="shared" si="4"/>
        <v>8</v>
      </c>
      <c r="G155" s="31"/>
    </row>
    <row r="156" spans="1:13" x14ac:dyDescent="0.25">
      <c r="A156" s="13"/>
      <c r="B156" s="13"/>
      <c r="C156" s="11" t="str">
        <f t="shared" si="3"/>
        <v>Tests</v>
      </c>
      <c r="D156" s="11"/>
      <c r="E156" s="11"/>
      <c r="F156" s="11">
        <f t="shared" si="4"/>
        <v>7</v>
      </c>
      <c r="G156" s="31"/>
    </row>
    <row r="157" spans="1:13" x14ac:dyDescent="0.25">
      <c r="A157" s="13"/>
      <c r="B157" s="13"/>
      <c r="C157" s="11" t="str">
        <f t="shared" si="3"/>
        <v>Further Readings</v>
      </c>
      <c r="D157" s="11"/>
      <c r="E157" s="11"/>
      <c r="F157" s="11">
        <f t="shared" si="4"/>
        <v>5</v>
      </c>
      <c r="G157" s="31"/>
    </row>
    <row r="158" spans="1:13" x14ac:dyDescent="0.25">
      <c r="A158" s="13"/>
      <c r="B158" s="13"/>
      <c r="C158" s="11"/>
      <c r="D158" s="22" t="s">
        <v>209</v>
      </c>
      <c r="E158" s="22">
        <f>-SUM(E149:E157)</f>
        <v>0</v>
      </c>
      <c r="F158" s="11"/>
      <c r="G158" s="31"/>
      <c r="L158" s="19"/>
      <c r="M158" s="19"/>
    </row>
    <row r="159" spans="1:13" s="19" customFormat="1" x14ac:dyDescent="0.25">
      <c r="A159" s="20"/>
      <c r="B159" s="20"/>
      <c r="E159">
        <f>-SUM(E149:E158)</f>
        <v>0</v>
      </c>
      <c r="F159" s="19">
        <f>SUM(F149:F157)</f>
        <v>75</v>
      </c>
      <c r="G159" s="31"/>
      <c r="L159"/>
      <c r="M159"/>
    </row>
    <row r="160" spans="1:13" x14ac:dyDescent="0.25">
      <c r="A160" s="14" t="s">
        <v>304</v>
      </c>
      <c r="B160" s="12"/>
      <c r="C160" s="12" t="s">
        <v>5</v>
      </c>
      <c r="D160" s="12"/>
      <c r="E160" s="12" t="s">
        <v>287</v>
      </c>
      <c r="F160" s="12">
        <v>10</v>
      </c>
      <c r="G160" s="31"/>
    </row>
    <row r="161" spans="1:12" x14ac:dyDescent="0.25">
      <c r="A161" s="14" t="s">
        <v>305</v>
      </c>
      <c r="B161" s="12"/>
      <c r="C161" s="12" t="s">
        <v>306</v>
      </c>
      <c r="D161" s="12"/>
      <c r="E161" s="12"/>
      <c r="F161" s="12">
        <v>10</v>
      </c>
      <c r="G161" s="31"/>
    </row>
    <row r="162" spans="1:12" x14ac:dyDescent="0.25">
      <c r="A162" s="14"/>
      <c r="B162" s="12"/>
      <c r="C162" s="12" t="s">
        <v>356</v>
      </c>
      <c r="D162" s="12"/>
      <c r="E162" s="12"/>
      <c r="F162" s="12">
        <v>10</v>
      </c>
      <c r="G162" s="31"/>
    </row>
    <row r="163" spans="1:12" x14ac:dyDescent="0.25">
      <c r="A163" s="14"/>
      <c r="B163" s="12"/>
      <c r="C163" s="12" t="s">
        <v>303</v>
      </c>
      <c r="D163" s="12"/>
      <c r="E163" s="12"/>
      <c r="F163" s="12">
        <v>10</v>
      </c>
      <c r="G163" s="31"/>
    </row>
    <row r="164" spans="1:12" x14ac:dyDescent="0.25">
      <c r="A164" s="14"/>
      <c r="B164" s="12"/>
      <c r="C164" s="12" t="s">
        <v>357</v>
      </c>
      <c r="D164" s="12"/>
      <c r="E164" s="12"/>
      <c r="F164" s="12">
        <v>10</v>
      </c>
      <c r="G164" s="31"/>
    </row>
    <row r="165" spans="1:12" x14ac:dyDescent="0.25">
      <c r="A165" s="14"/>
      <c r="B165" s="12"/>
      <c r="C165" s="12" t="s">
        <v>45</v>
      </c>
      <c r="D165" s="12"/>
      <c r="E165" s="12"/>
      <c r="F165" s="12">
        <v>6</v>
      </c>
      <c r="G165" s="31"/>
    </row>
    <row r="166" spans="1:12" x14ac:dyDescent="0.25">
      <c r="A166" s="14"/>
      <c r="B166" s="12"/>
      <c r="C166" s="12" t="s">
        <v>245</v>
      </c>
      <c r="D166" s="12"/>
      <c r="E166" s="12"/>
      <c r="F166" s="12">
        <v>6</v>
      </c>
      <c r="G166" s="31"/>
    </row>
    <row r="167" spans="1:12" x14ac:dyDescent="0.25">
      <c r="A167" s="14"/>
      <c r="B167" s="12"/>
      <c r="C167" s="12" t="s">
        <v>100</v>
      </c>
      <c r="D167" s="12" t="s">
        <v>299</v>
      </c>
      <c r="E167" s="12" t="s">
        <v>287</v>
      </c>
      <c r="F167" s="12">
        <v>6</v>
      </c>
      <c r="G167" s="31"/>
    </row>
    <row r="168" spans="1:12" x14ac:dyDescent="0.25">
      <c r="A168" s="12"/>
      <c r="B168" s="12"/>
      <c r="C168" s="12"/>
      <c r="D168" s="12" t="s">
        <v>89</v>
      </c>
      <c r="E168" s="12" t="s">
        <v>287</v>
      </c>
      <c r="F168" s="12">
        <v>6</v>
      </c>
      <c r="G168" s="31"/>
    </row>
    <row r="169" spans="1:12" x14ac:dyDescent="0.25">
      <c r="A169" s="12"/>
      <c r="B169" s="12"/>
      <c r="C169" s="12" t="s">
        <v>97</v>
      </c>
      <c r="D169" s="12"/>
      <c r="E169" s="12" t="s">
        <v>287</v>
      </c>
      <c r="F169" s="12">
        <v>6</v>
      </c>
      <c r="G169" s="31"/>
    </row>
    <row r="170" spans="1:12" x14ac:dyDescent="0.25">
      <c r="A170" s="12"/>
      <c r="B170" s="12"/>
      <c r="C170" s="12" t="s">
        <v>98</v>
      </c>
      <c r="D170" s="12"/>
      <c r="E170" s="12" t="s">
        <v>287</v>
      </c>
      <c r="F170" s="12">
        <v>5</v>
      </c>
      <c r="G170" s="31"/>
    </row>
    <row r="171" spans="1:12" x14ac:dyDescent="0.25">
      <c r="A171" s="12"/>
      <c r="B171" s="12"/>
      <c r="C171" s="12" t="s">
        <v>99</v>
      </c>
      <c r="D171" s="12"/>
      <c r="E171" s="12" t="s">
        <v>287</v>
      </c>
      <c r="F171" s="12">
        <v>5</v>
      </c>
      <c r="G171" s="31"/>
    </row>
    <row r="172" spans="1:12" x14ac:dyDescent="0.25">
      <c r="A172" s="12"/>
      <c r="B172" s="12"/>
      <c r="C172" s="12"/>
      <c r="D172" s="22" t="s">
        <v>209</v>
      </c>
      <c r="E172" s="22">
        <f>-SUM(E160:E171)</f>
        <v>0</v>
      </c>
      <c r="G172" s="31"/>
    </row>
    <row r="173" spans="1:12" x14ac:dyDescent="0.25">
      <c r="A173" s="19"/>
      <c r="B173" s="19"/>
      <c r="C173" s="19"/>
      <c r="E173">
        <f>SUM(E160:E172)</f>
        <v>0</v>
      </c>
      <c r="F173" s="19">
        <f>SUM(F160:F171)</f>
        <v>90</v>
      </c>
      <c r="G173" s="31"/>
    </row>
    <row r="174" spans="1:12" x14ac:dyDescent="0.25">
      <c r="A174" s="19"/>
      <c r="B174" s="19"/>
      <c r="C174" s="19"/>
      <c r="F174" s="19"/>
      <c r="G174" s="31"/>
    </row>
    <row r="175" spans="1:12" s="5" customFormat="1" ht="18.75" x14ac:dyDescent="0.3">
      <c r="A175" s="24" t="s">
        <v>310</v>
      </c>
      <c r="B175" s="24"/>
      <c r="C175" s="24"/>
      <c r="F175" s="24"/>
      <c r="K175"/>
      <c r="L175"/>
    </row>
    <row r="176" spans="1:12" ht="18.75" x14ac:dyDescent="0.3">
      <c r="A176" s="5"/>
    </row>
    <row r="177" spans="1:7" x14ac:dyDescent="0.25">
      <c r="A177" s="13" t="s">
        <v>21</v>
      </c>
      <c r="B177" s="13"/>
      <c r="C177" s="11" t="s">
        <v>5</v>
      </c>
      <c r="D177" s="11"/>
      <c r="E177" s="11"/>
      <c r="F177" s="11">
        <v>10</v>
      </c>
      <c r="G177" s="19"/>
    </row>
    <row r="178" spans="1:7" x14ac:dyDescent="0.25">
      <c r="A178" s="11"/>
      <c r="B178" s="11"/>
      <c r="C178" s="11" t="s">
        <v>23</v>
      </c>
      <c r="D178" s="11"/>
      <c r="E178" s="11"/>
      <c r="F178" s="11">
        <v>10</v>
      </c>
    </row>
    <row r="179" spans="1:7" x14ac:dyDescent="0.25">
      <c r="A179" s="11"/>
      <c r="B179" s="11"/>
      <c r="C179" s="11" t="s">
        <v>27</v>
      </c>
      <c r="D179" s="11"/>
      <c r="E179" s="11"/>
      <c r="F179" s="11">
        <v>10</v>
      </c>
    </row>
    <row r="180" spans="1:7" x14ac:dyDescent="0.25">
      <c r="A180" s="11"/>
      <c r="B180" s="11"/>
      <c r="C180" s="11" t="s">
        <v>22</v>
      </c>
      <c r="D180" s="11"/>
      <c r="E180" s="11"/>
      <c r="F180" s="11">
        <v>10</v>
      </c>
    </row>
    <row r="181" spans="1:7" x14ac:dyDescent="0.25">
      <c r="A181" s="11"/>
      <c r="B181" s="11"/>
      <c r="C181" s="11" t="s">
        <v>33</v>
      </c>
      <c r="D181" s="11"/>
      <c r="E181" s="11"/>
      <c r="F181" s="11">
        <v>10</v>
      </c>
    </row>
    <row r="182" spans="1:7" x14ac:dyDescent="0.25">
      <c r="A182" s="11"/>
      <c r="B182" s="11"/>
      <c r="C182" s="11" t="s">
        <v>25</v>
      </c>
      <c r="D182" s="11"/>
      <c r="E182" s="11"/>
      <c r="F182" s="11">
        <v>10</v>
      </c>
    </row>
    <row r="183" spans="1:7" x14ac:dyDescent="0.25">
      <c r="A183" s="11"/>
      <c r="B183" s="11"/>
      <c r="C183" s="11" t="s">
        <v>26</v>
      </c>
      <c r="D183" s="11"/>
      <c r="E183" s="11"/>
      <c r="F183" s="11">
        <v>10</v>
      </c>
    </row>
    <row r="184" spans="1:7" x14ac:dyDescent="0.25">
      <c r="A184" s="11"/>
      <c r="B184" s="11"/>
      <c r="C184" s="11" t="s">
        <v>24</v>
      </c>
      <c r="D184" s="11"/>
      <c r="E184" s="11"/>
      <c r="F184" s="11">
        <v>10</v>
      </c>
    </row>
    <row r="185" spans="1:7" x14ac:dyDescent="0.25">
      <c r="A185" s="11"/>
      <c r="B185" s="11"/>
      <c r="C185" s="11"/>
      <c r="D185" s="22" t="s">
        <v>209</v>
      </c>
      <c r="E185" s="22">
        <f>-SUM(E177:E184)</f>
        <v>0</v>
      </c>
    </row>
    <row r="186" spans="1:7" x14ac:dyDescent="0.25">
      <c r="E186">
        <f>SUM(E177:E185)</f>
        <v>0</v>
      </c>
      <c r="F186">
        <f>SUM(F177:F184)</f>
        <v>80</v>
      </c>
    </row>
    <row r="188" spans="1:7" ht="18.75" x14ac:dyDescent="0.3">
      <c r="A188" s="5" t="s">
        <v>311</v>
      </c>
    </row>
    <row r="189" spans="1:7" x14ac:dyDescent="0.25">
      <c r="A189" s="9" t="s">
        <v>177</v>
      </c>
      <c r="B189" s="9"/>
      <c r="C189" s="10" t="s">
        <v>176</v>
      </c>
      <c r="D189" s="10"/>
      <c r="E189" s="10"/>
      <c r="F189" s="10">
        <v>5</v>
      </c>
      <c r="G189" s="32" t="s">
        <v>96</v>
      </c>
    </row>
    <row r="190" spans="1:7" x14ac:dyDescent="0.25">
      <c r="A190" s="9" t="s">
        <v>293</v>
      </c>
      <c r="B190" s="9"/>
      <c r="C190" s="10" t="s">
        <v>56</v>
      </c>
      <c r="D190" s="10"/>
      <c r="E190" s="10"/>
      <c r="F190" s="10">
        <v>10</v>
      </c>
      <c r="G190" s="32"/>
    </row>
    <row r="191" spans="1:7" x14ac:dyDescent="0.25">
      <c r="A191" s="9"/>
      <c r="B191" s="9"/>
      <c r="C191" s="10" t="s">
        <v>43</v>
      </c>
      <c r="D191" s="10"/>
      <c r="E191" s="10"/>
      <c r="F191" s="10">
        <v>10</v>
      </c>
      <c r="G191" s="32"/>
    </row>
    <row r="192" spans="1:7" x14ac:dyDescent="0.25">
      <c r="A192" s="9"/>
      <c r="B192" s="9"/>
      <c r="C192" s="10" t="s">
        <v>178</v>
      </c>
      <c r="D192" s="10"/>
      <c r="E192" s="10"/>
      <c r="F192" s="10">
        <v>5</v>
      </c>
      <c r="G192" s="32"/>
    </row>
    <row r="193" spans="1:7" x14ac:dyDescent="0.25">
      <c r="A193" s="9"/>
      <c r="B193" s="9"/>
      <c r="C193" s="10" t="s">
        <v>44</v>
      </c>
      <c r="D193" s="10"/>
      <c r="E193" s="10"/>
      <c r="F193" s="10">
        <v>5</v>
      </c>
      <c r="G193" s="32"/>
    </row>
    <row r="194" spans="1:7" x14ac:dyDescent="0.25">
      <c r="A194" s="9"/>
      <c r="B194" s="9"/>
      <c r="C194" s="10" t="s">
        <v>207</v>
      </c>
      <c r="D194" s="10"/>
      <c r="E194" s="10"/>
      <c r="F194" s="10">
        <v>5</v>
      </c>
      <c r="G194" s="32"/>
    </row>
    <row r="195" spans="1:7" x14ac:dyDescent="0.25">
      <c r="A195" s="9"/>
      <c r="B195" s="9"/>
      <c r="C195" s="10"/>
      <c r="D195" s="22" t="s">
        <v>209</v>
      </c>
      <c r="E195" s="22">
        <f>-SUM(E189:E194)</f>
        <v>0</v>
      </c>
      <c r="F195" s="10"/>
      <c r="G195" s="32"/>
    </row>
    <row r="196" spans="1:7" x14ac:dyDescent="0.25">
      <c r="A196" s="1"/>
      <c r="B196" s="1"/>
      <c r="D196" s="19"/>
      <c r="E196">
        <f>-SUM(E189:E195)</f>
        <v>0</v>
      </c>
      <c r="F196">
        <f>SUM(F189:F194)</f>
        <v>40</v>
      </c>
      <c r="G196" s="32"/>
    </row>
    <row r="197" spans="1:7" x14ac:dyDescent="0.25">
      <c r="A197" s="9" t="s">
        <v>177</v>
      </c>
      <c r="B197" s="9"/>
      <c r="C197" s="10" t="s">
        <v>176</v>
      </c>
      <c r="D197" s="10"/>
      <c r="E197" s="10"/>
      <c r="F197" s="10">
        <v>5</v>
      </c>
      <c r="G197" s="32"/>
    </row>
    <row r="198" spans="1:7" x14ac:dyDescent="0.25">
      <c r="A198" s="9" t="s">
        <v>295</v>
      </c>
      <c r="B198" s="9"/>
      <c r="C198" s="10" t="s">
        <v>56</v>
      </c>
      <c r="D198" s="10"/>
      <c r="E198" s="10"/>
      <c r="F198" s="10">
        <v>10</v>
      </c>
      <c r="G198" s="32"/>
    </row>
    <row r="199" spans="1:7" x14ac:dyDescent="0.25">
      <c r="A199" s="9" t="s">
        <v>294</v>
      </c>
      <c r="B199" s="9"/>
      <c r="C199" s="10" t="s">
        <v>43</v>
      </c>
      <c r="D199" s="10"/>
      <c r="E199" s="10"/>
      <c r="F199" s="10">
        <v>10</v>
      </c>
      <c r="G199" s="32"/>
    </row>
    <row r="200" spans="1:7" x14ac:dyDescent="0.25">
      <c r="A200" s="9"/>
      <c r="B200" s="9"/>
      <c r="C200" s="10" t="s">
        <v>178</v>
      </c>
      <c r="D200" s="10"/>
      <c r="E200" s="10"/>
      <c r="F200" s="10">
        <v>5</v>
      </c>
      <c r="G200" s="32"/>
    </row>
    <row r="201" spans="1:7" x14ac:dyDescent="0.25">
      <c r="A201" s="9"/>
      <c r="B201" s="9"/>
      <c r="C201" s="10" t="s">
        <v>297</v>
      </c>
      <c r="D201" s="10"/>
      <c r="E201" s="10"/>
      <c r="F201" s="10">
        <v>5</v>
      </c>
      <c r="G201" s="32"/>
    </row>
    <row r="202" spans="1:7" x14ac:dyDescent="0.25">
      <c r="A202" s="9"/>
      <c r="B202" s="9"/>
      <c r="C202" s="10" t="s">
        <v>296</v>
      </c>
      <c r="D202" s="10"/>
      <c r="E202" s="10"/>
      <c r="F202" s="10">
        <v>5</v>
      </c>
      <c r="G202" s="32"/>
    </row>
    <row r="203" spans="1:7" x14ac:dyDescent="0.25">
      <c r="A203" s="9"/>
      <c r="B203" s="9"/>
      <c r="C203" s="10"/>
      <c r="D203" s="22" t="s">
        <v>209</v>
      </c>
      <c r="E203" s="22">
        <f>-SUM(E197:E202)</f>
        <v>0</v>
      </c>
      <c r="F203" s="10"/>
      <c r="G203" s="32"/>
    </row>
    <row r="204" spans="1:7" x14ac:dyDescent="0.25">
      <c r="A204" s="1"/>
      <c r="B204" s="1"/>
      <c r="D204" s="19"/>
      <c r="E204">
        <f>-SUM(E197:E203)</f>
        <v>0</v>
      </c>
      <c r="F204">
        <f>SUM(F197:F202)</f>
        <v>40</v>
      </c>
      <c r="G204" s="32"/>
    </row>
    <row r="205" spans="1:7" ht="18.75" x14ac:dyDescent="0.3">
      <c r="A205" s="5" t="s">
        <v>249</v>
      </c>
    </row>
    <row r="206" spans="1:7" x14ac:dyDescent="0.25">
      <c r="A206" s="7" t="s">
        <v>28</v>
      </c>
      <c r="B206" s="8"/>
      <c r="C206" s="8" t="s">
        <v>29</v>
      </c>
      <c r="D206" s="8"/>
      <c r="E206" s="8"/>
      <c r="F206" s="8"/>
    </row>
    <row r="207" spans="1:7" x14ac:dyDescent="0.25">
      <c r="A207" s="8"/>
      <c r="B207" s="8"/>
      <c r="C207" s="8" t="s">
        <v>32</v>
      </c>
      <c r="D207" s="8"/>
      <c r="E207" s="8"/>
      <c r="F207" s="8">
        <v>5</v>
      </c>
    </row>
    <row r="208" spans="1:7" x14ac:dyDescent="0.25">
      <c r="A208" s="8"/>
      <c r="B208" s="8"/>
      <c r="C208" s="8" t="s">
        <v>30</v>
      </c>
      <c r="D208" s="8"/>
      <c r="E208" s="8"/>
      <c r="F208" s="8"/>
    </row>
    <row r="209" spans="1:13" x14ac:dyDescent="0.25">
      <c r="A209" s="8"/>
      <c r="B209" s="8"/>
      <c r="C209" s="8" t="s">
        <v>31</v>
      </c>
      <c r="D209" s="8"/>
      <c r="E209" s="8"/>
      <c r="F209" s="8"/>
    </row>
    <row r="210" spans="1:13" x14ac:dyDescent="0.25">
      <c r="A210" s="8"/>
      <c r="B210" s="8"/>
      <c r="C210" s="8" t="s">
        <v>193</v>
      </c>
      <c r="D210" s="8"/>
      <c r="E210" s="8"/>
      <c r="F210" s="8">
        <v>2</v>
      </c>
    </row>
    <row r="211" spans="1:13" x14ac:dyDescent="0.25">
      <c r="F211">
        <f>SUM(F206:F210)</f>
        <v>7</v>
      </c>
    </row>
    <row r="212" spans="1:13" ht="18.75" x14ac:dyDescent="0.3">
      <c r="A212" s="5" t="s">
        <v>252</v>
      </c>
    </row>
    <row r="213" spans="1:13" x14ac:dyDescent="0.25">
      <c r="A213" s="13" t="s">
        <v>328</v>
      </c>
      <c r="B213" s="11"/>
      <c r="C213" s="11"/>
      <c r="D213" s="11" t="s">
        <v>12</v>
      </c>
      <c r="E213" s="11"/>
      <c r="F213" s="11">
        <v>5</v>
      </c>
    </row>
    <row r="214" spans="1:13" x14ac:dyDescent="0.25">
      <c r="A214" s="13"/>
      <c r="B214" s="11"/>
      <c r="C214" s="11"/>
      <c r="D214" s="11" t="s">
        <v>329</v>
      </c>
      <c r="E214" s="11"/>
      <c r="F214" s="11">
        <v>5</v>
      </c>
    </row>
    <row r="215" spans="1:13" x14ac:dyDescent="0.25">
      <c r="A215" s="13"/>
      <c r="B215" s="11"/>
      <c r="C215" s="11"/>
      <c r="D215" s="11" t="s">
        <v>330</v>
      </c>
      <c r="E215" s="11"/>
      <c r="F215" s="11">
        <v>5</v>
      </c>
    </row>
    <row r="216" spans="1:13" x14ac:dyDescent="0.25">
      <c r="A216" s="13"/>
      <c r="B216" s="11"/>
      <c r="C216" s="11"/>
      <c r="D216" s="11" t="s">
        <v>18</v>
      </c>
      <c r="E216" s="11"/>
      <c r="F216" s="11">
        <v>5</v>
      </c>
    </row>
    <row r="217" spans="1:13" x14ac:dyDescent="0.25">
      <c r="A217" s="13"/>
      <c r="B217" s="11"/>
      <c r="C217" s="11"/>
      <c r="D217" s="11" t="s">
        <v>35</v>
      </c>
      <c r="E217" s="11"/>
      <c r="F217" s="11">
        <v>5</v>
      </c>
    </row>
    <row r="218" spans="1:13" x14ac:dyDescent="0.25">
      <c r="A218" s="13"/>
      <c r="B218" s="11"/>
      <c r="C218" s="11"/>
      <c r="D218" s="22" t="s">
        <v>209</v>
      </c>
      <c r="E218" s="22">
        <f>-SUM(E213:E217)</f>
        <v>0</v>
      </c>
      <c r="F218" s="11"/>
    </row>
    <row r="219" spans="1:13" x14ac:dyDescent="0.25">
      <c r="A219" s="1"/>
      <c r="E219">
        <f>-SUM(E213:E218)</f>
        <v>0</v>
      </c>
      <c r="F219">
        <f>SUM(F213:F218)</f>
        <v>25</v>
      </c>
      <c r="M219" s="21"/>
    </row>
    <row r="220" spans="1:13" x14ac:dyDescent="0.25">
      <c r="A220" s="19"/>
      <c r="B220" s="19"/>
      <c r="C220" s="19"/>
      <c r="D220" s="19"/>
      <c r="E220" s="19"/>
      <c r="F220" s="19"/>
      <c r="G220" s="19"/>
    </row>
    <row r="221" spans="1:13" x14ac:dyDescent="0.25">
      <c r="A221" s="9" t="s">
        <v>66</v>
      </c>
      <c r="B221" s="10" t="s">
        <v>12</v>
      </c>
      <c r="C221" s="10"/>
      <c r="D221" s="10"/>
      <c r="E221" s="10"/>
      <c r="F221" s="10">
        <v>10</v>
      </c>
    </row>
    <row r="222" spans="1:13" x14ac:dyDescent="0.25">
      <c r="A222" s="9"/>
      <c r="B222" s="10" t="s">
        <v>42</v>
      </c>
      <c r="C222" s="10"/>
      <c r="D222" s="10"/>
      <c r="E222" s="10"/>
      <c r="F222" s="10">
        <v>5</v>
      </c>
    </row>
    <row r="223" spans="1:13" x14ac:dyDescent="0.25">
      <c r="A223" s="9"/>
      <c r="B223" s="10" t="s">
        <v>331</v>
      </c>
      <c r="C223" s="10"/>
      <c r="D223" s="10"/>
      <c r="E223" s="10"/>
      <c r="F223" s="10">
        <v>5</v>
      </c>
    </row>
    <row r="224" spans="1:13" x14ac:dyDescent="0.25">
      <c r="A224" s="9"/>
      <c r="B224" s="10" t="s">
        <v>67</v>
      </c>
      <c r="C224" s="10"/>
      <c r="D224" s="10"/>
      <c r="E224" s="10"/>
      <c r="F224" s="10">
        <v>20</v>
      </c>
    </row>
    <row r="225" spans="1:6" x14ac:dyDescent="0.25">
      <c r="A225" s="9"/>
      <c r="B225" s="10"/>
      <c r="C225" s="10"/>
      <c r="D225" s="22" t="s">
        <v>209</v>
      </c>
      <c r="E225" s="22">
        <f>-SUM(E221:E224)</f>
        <v>0</v>
      </c>
      <c r="F225" s="10"/>
    </row>
    <row r="226" spans="1:6" x14ac:dyDescent="0.25">
      <c r="A226" s="1"/>
      <c r="E226">
        <f>-SUM(E221:E225)</f>
        <v>0</v>
      </c>
      <c r="F226">
        <f>SUM(F221:F224)</f>
        <v>40</v>
      </c>
    </row>
    <row r="227" spans="1:6" x14ac:dyDescent="0.25">
      <c r="A227" s="9" t="s">
        <v>264</v>
      </c>
      <c r="B227" s="9" t="s">
        <v>256</v>
      </c>
      <c r="C227" s="10" t="s">
        <v>62</v>
      </c>
      <c r="D227" s="10" t="s">
        <v>35</v>
      </c>
      <c r="E227" s="10"/>
      <c r="F227" s="10">
        <v>5</v>
      </c>
    </row>
    <row r="228" spans="1:6" x14ac:dyDescent="0.25">
      <c r="A228" s="10"/>
      <c r="B228" s="10"/>
      <c r="C228" s="10"/>
      <c r="D228" s="10" t="s">
        <v>88</v>
      </c>
      <c r="E228" s="10"/>
      <c r="F228" s="10">
        <v>5</v>
      </c>
    </row>
    <row r="229" spans="1:6" x14ac:dyDescent="0.25">
      <c r="A229" s="10"/>
      <c r="B229" s="10"/>
      <c r="C229" s="10"/>
      <c r="D229" s="10" t="s">
        <v>257</v>
      </c>
      <c r="E229" s="10"/>
      <c r="F229" s="10">
        <v>5</v>
      </c>
    </row>
    <row r="230" spans="1:6" x14ac:dyDescent="0.25">
      <c r="A230" s="10"/>
      <c r="B230" s="10"/>
      <c r="C230" s="10"/>
      <c r="D230" s="10" t="s">
        <v>89</v>
      </c>
      <c r="E230" s="10"/>
      <c r="F230" s="10">
        <v>5</v>
      </c>
    </row>
    <row r="231" spans="1:6" x14ac:dyDescent="0.25">
      <c r="A231" s="10"/>
      <c r="B231" s="10"/>
      <c r="C231" s="10"/>
      <c r="D231" s="10" t="s">
        <v>259</v>
      </c>
      <c r="E231" s="10"/>
      <c r="F231" s="10">
        <v>5</v>
      </c>
    </row>
    <row r="232" spans="1:6" x14ac:dyDescent="0.25">
      <c r="A232" s="10"/>
      <c r="B232" s="10"/>
      <c r="C232" s="10"/>
      <c r="D232" s="10" t="s">
        <v>258</v>
      </c>
      <c r="E232" s="10"/>
      <c r="F232" s="10">
        <v>5</v>
      </c>
    </row>
    <row r="233" spans="1:6" x14ac:dyDescent="0.25">
      <c r="A233" s="10"/>
      <c r="B233" s="10"/>
      <c r="C233" s="10" t="s">
        <v>260</v>
      </c>
      <c r="D233" s="10" t="s">
        <v>261</v>
      </c>
      <c r="E233" s="10"/>
      <c r="F233" s="10">
        <v>5</v>
      </c>
    </row>
    <row r="234" spans="1:6" x14ac:dyDescent="0.25">
      <c r="A234" s="10"/>
      <c r="B234" s="10"/>
      <c r="C234" s="10"/>
      <c r="D234" s="10" t="s">
        <v>262</v>
      </c>
      <c r="E234" s="10"/>
      <c r="F234" s="10">
        <v>5</v>
      </c>
    </row>
    <row r="235" spans="1:6" x14ac:dyDescent="0.25">
      <c r="A235" s="10"/>
      <c r="B235" s="10"/>
      <c r="C235" s="10"/>
      <c r="D235" s="10" t="s">
        <v>19</v>
      </c>
      <c r="E235" s="10"/>
      <c r="F235" s="10">
        <v>5</v>
      </c>
    </row>
    <row r="236" spans="1:6" x14ac:dyDescent="0.25">
      <c r="A236" s="10"/>
      <c r="B236" s="10"/>
      <c r="C236" s="10"/>
      <c r="D236" s="10" t="s">
        <v>18</v>
      </c>
      <c r="E236" s="10"/>
      <c r="F236" s="10">
        <v>5</v>
      </c>
    </row>
    <row r="237" spans="1:6" x14ac:dyDescent="0.25">
      <c r="A237" s="10"/>
      <c r="B237" s="10"/>
      <c r="C237" s="10"/>
      <c r="D237" s="10" t="s">
        <v>263</v>
      </c>
      <c r="E237" s="10"/>
      <c r="F237" s="10">
        <v>5</v>
      </c>
    </row>
    <row r="238" spans="1:6" x14ac:dyDescent="0.25">
      <c r="A238" s="10"/>
      <c r="B238" s="10"/>
      <c r="C238" s="10"/>
      <c r="D238" s="22" t="s">
        <v>209</v>
      </c>
      <c r="E238" s="22">
        <f>-SUM(E211:E232)</f>
        <v>0</v>
      </c>
      <c r="F238" s="10"/>
    </row>
    <row r="239" spans="1:6" x14ac:dyDescent="0.25">
      <c r="A239" s="19"/>
      <c r="B239" s="19"/>
      <c r="C239" s="19"/>
      <c r="D239" s="19"/>
      <c r="E239" s="19">
        <f>SUM(E227:E232)</f>
        <v>0</v>
      </c>
      <c r="F239" s="19">
        <f>SUM(F227:F237)</f>
        <v>55</v>
      </c>
    </row>
    <row r="240" spans="1:6" x14ac:dyDescent="0.25">
      <c r="A240" s="7" t="s">
        <v>264</v>
      </c>
      <c r="B240" s="7" t="s">
        <v>63</v>
      </c>
      <c r="C240" s="8"/>
      <c r="D240" s="8"/>
      <c r="E240" s="8"/>
      <c r="F240" s="8">
        <v>10</v>
      </c>
    </row>
    <row r="241" spans="1:6" x14ac:dyDescent="0.25">
      <c r="A241" s="8"/>
      <c r="B241" s="7" t="s">
        <v>20</v>
      </c>
      <c r="C241" s="8" t="s">
        <v>265</v>
      </c>
      <c r="D241" s="8"/>
      <c r="E241" s="8"/>
      <c r="F241" s="8">
        <v>5</v>
      </c>
    </row>
    <row r="242" spans="1:6" x14ac:dyDescent="0.25">
      <c r="A242" s="8"/>
      <c r="B242" s="8"/>
      <c r="C242" s="8" t="s">
        <v>22</v>
      </c>
      <c r="D242" s="8"/>
      <c r="E242" s="8"/>
      <c r="F242" s="8">
        <v>5</v>
      </c>
    </row>
    <row r="243" spans="1:6" x14ac:dyDescent="0.25">
      <c r="A243" s="8"/>
      <c r="B243" s="8"/>
      <c r="C243" s="8" t="s">
        <v>266</v>
      </c>
      <c r="D243" s="8"/>
      <c r="E243" s="8"/>
      <c r="F243" s="8">
        <v>5</v>
      </c>
    </row>
    <row r="244" spans="1:6" x14ac:dyDescent="0.25">
      <c r="A244" s="8"/>
      <c r="B244" s="8"/>
      <c r="C244" s="8" t="s">
        <v>267</v>
      </c>
      <c r="D244" s="8"/>
      <c r="E244" s="8"/>
      <c r="F244" s="8">
        <v>5</v>
      </c>
    </row>
    <row r="245" spans="1:6" x14ac:dyDescent="0.25">
      <c r="A245" s="8"/>
      <c r="B245" s="8"/>
      <c r="C245" s="8" t="s">
        <v>268</v>
      </c>
      <c r="D245" s="8"/>
      <c r="E245" s="8"/>
      <c r="F245" s="8">
        <v>5</v>
      </c>
    </row>
    <row r="246" spans="1:6" x14ac:dyDescent="0.25">
      <c r="A246" s="8"/>
      <c r="B246" s="8"/>
      <c r="C246" s="8" t="s">
        <v>269</v>
      </c>
      <c r="D246" s="8"/>
      <c r="E246" s="8"/>
      <c r="F246" s="8">
        <v>5</v>
      </c>
    </row>
    <row r="247" spans="1:6" x14ac:dyDescent="0.25">
      <c r="A247" s="8"/>
      <c r="B247" s="8"/>
      <c r="C247" s="8"/>
      <c r="D247" s="22" t="s">
        <v>209</v>
      </c>
      <c r="E247" s="22">
        <f>-SUM(E244:E246)</f>
        <v>0</v>
      </c>
      <c r="F247" s="8"/>
    </row>
    <row r="248" spans="1:6" x14ac:dyDescent="0.25">
      <c r="E248">
        <f>SUM(E240:E246)</f>
        <v>0</v>
      </c>
      <c r="F248">
        <f>SUM(F240:F246)</f>
        <v>40</v>
      </c>
    </row>
    <row r="249" spans="1:6" x14ac:dyDescent="0.25">
      <c r="A249" s="7" t="s">
        <v>66</v>
      </c>
      <c r="B249" s="8" t="s">
        <v>12</v>
      </c>
      <c r="C249" s="8"/>
      <c r="D249" s="8"/>
      <c r="E249" s="8"/>
      <c r="F249" s="8">
        <v>10</v>
      </c>
    </row>
    <row r="250" spans="1:6" x14ac:dyDescent="0.25">
      <c r="A250" s="7"/>
      <c r="B250" s="8" t="s">
        <v>42</v>
      </c>
      <c r="C250" s="8"/>
      <c r="D250" s="8"/>
      <c r="E250" s="8"/>
      <c r="F250" s="8">
        <v>5</v>
      </c>
    </row>
    <row r="251" spans="1:6" x14ac:dyDescent="0.25">
      <c r="A251" s="7"/>
      <c r="B251" s="8" t="s">
        <v>220</v>
      </c>
      <c r="C251" s="8"/>
      <c r="D251" s="8"/>
      <c r="E251" s="8"/>
      <c r="F251" s="8">
        <v>5</v>
      </c>
    </row>
    <row r="252" spans="1:6" x14ac:dyDescent="0.25">
      <c r="A252" s="7"/>
      <c r="B252" s="8" t="s">
        <v>141</v>
      </c>
      <c r="C252" s="8"/>
      <c r="D252" s="8"/>
      <c r="E252" s="8"/>
      <c r="F252" s="8">
        <v>5</v>
      </c>
    </row>
    <row r="253" spans="1:6" x14ac:dyDescent="0.25">
      <c r="A253" s="7"/>
      <c r="B253" s="8" t="s">
        <v>65</v>
      </c>
      <c r="C253" s="8"/>
      <c r="D253" s="8"/>
      <c r="E253" s="8"/>
      <c r="F253" s="8">
        <v>5</v>
      </c>
    </row>
    <row r="254" spans="1:6" x14ac:dyDescent="0.25">
      <c r="A254" s="7"/>
      <c r="B254" s="8" t="s">
        <v>67</v>
      </c>
      <c r="C254" s="8"/>
      <c r="D254" s="8"/>
      <c r="E254" s="8"/>
      <c r="F254" s="8">
        <v>20</v>
      </c>
    </row>
    <row r="255" spans="1:6" x14ac:dyDescent="0.25">
      <c r="A255" s="7"/>
      <c r="B255" s="7" t="s">
        <v>49</v>
      </c>
      <c r="C255" s="8" t="s">
        <v>50</v>
      </c>
      <c r="D255" s="8"/>
      <c r="E255" s="8"/>
      <c r="F255" s="8">
        <v>5</v>
      </c>
    </row>
    <row r="256" spans="1:6" x14ac:dyDescent="0.25">
      <c r="A256" s="7"/>
      <c r="B256" s="7"/>
      <c r="C256" s="8" t="s">
        <v>52</v>
      </c>
      <c r="D256" s="8"/>
      <c r="E256" s="8"/>
      <c r="F256" s="8">
        <v>5</v>
      </c>
    </row>
    <row r="257" spans="1:6" x14ac:dyDescent="0.25">
      <c r="A257" s="7"/>
      <c r="B257" s="7"/>
      <c r="C257" s="8" t="s">
        <v>51</v>
      </c>
      <c r="D257" s="8"/>
      <c r="E257" s="8"/>
      <c r="F257" s="8">
        <v>20</v>
      </c>
    </row>
    <row r="258" spans="1:6" x14ac:dyDescent="0.25">
      <c r="A258" s="7"/>
      <c r="B258" s="7"/>
      <c r="C258" s="8" t="s">
        <v>48</v>
      </c>
      <c r="D258" s="8"/>
      <c r="E258" s="8"/>
      <c r="F258" s="8">
        <v>20</v>
      </c>
    </row>
    <row r="259" spans="1:6" x14ac:dyDescent="0.25">
      <c r="A259" s="7"/>
      <c r="B259" s="7"/>
      <c r="C259" s="8" t="s">
        <v>204</v>
      </c>
      <c r="D259" s="8"/>
      <c r="E259" s="8"/>
      <c r="F259" s="8">
        <v>20</v>
      </c>
    </row>
    <row r="260" spans="1:6" x14ac:dyDescent="0.25">
      <c r="A260" s="7"/>
      <c r="B260" s="7"/>
      <c r="C260" s="8" t="s">
        <v>53</v>
      </c>
      <c r="D260" s="8" t="s">
        <v>58</v>
      </c>
      <c r="E260" s="8"/>
      <c r="F260" s="8">
        <v>3</v>
      </c>
    </row>
    <row r="261" spans="1:6" x14ac:dyDescent="0.25">
      <c r="A261" s="7"/>
      <c r="B261" s="7"/>
      <c r="C261" s="8"/>
      <c r="D261" s="8" t="s">
        <v>59</v>
      </c>
      <c r="E261" s="8"/>
      <c r="F261" s="8">
        <v>3</v>
      </c>
    </row>
    <row r="262" spans="1:6" x14ac:dyDescent="0.25">
      <c r="A262" s="7"/>
      <c r="B262" s="7"/>
      <c r="C262" s="8"/>
      <c r="D262" s="8" t="s">
        <v>60</v>
      </c>
      <c r="E262" s="8"/>
      <c r="F262" s="8">
        <v>3</v>
      </c>
    </row>
    <row r="263" spans="1:6" x14ac:dyDescent="0.25">
      <c r="A263" s="7"/>
      <c r="B263" s="7"/>
      <c r="C263" s="8"/>
      <c r="D263" s="8" t="s">
        <v>46</v>
      </c>
      <c r="E263" s="8"/>
      <c r="F263" s="8">
        <v>3</v>
      </c>
    </row>
    <row r="264" spans="1:6" x14ac:dyDescent="0.25">
      <c r="A264" s="7"/>
      <c r="B264" s="7"/>
      <c r="C264" s="8"/>
      <c r="D264" s="8" t="s">
        <v>61</v>
      </c>
      <c r="E264" s="8"/>
      <c r="F264" s="8">
        <v>3</v>
      </c>
    </row>
    <row r="265" spans="1:6" x14ac:dyDescent="0.25">
      <c r="A265" s="7"/>
      <c r="B265" s="7"/>
      <c r="C265" s="8"/>
      <c r="D265" s="22" t="s">
        <v>209</v>
      </c>
      <c r="E265" s="22">
        <f>-SUM(E255:E264)</f>
        <v>0</v>
      </c>
      <c r="F265" s="8"/>
    </row>
    <row r="266" spans="1:6" x14ac:dyDescent="0.25">
      <c r="E266">
        <f>SUM(E249:E265)</f>
        <v>0</v>
      </c>
      <c r="F266">
        <f>SUM(F249:F265)</f>
        <v>135</v>
      </c>
    </row>
    <row r="268" spans="1:6" x14ac:dyDescent="0.25">
      <c r="A268" s="7" t="s">
        <v>270</v>
      </c>
      <c r="B268" s="8" t="s">
        <v>271</v>
      </c>
      <c r="C268" s="8"/>
      <c r="D268" s="8"/>
      <c r="E268" s="8"/>
      <c r="F268" s="8">
        <v>5</v>
      </c>
    </row>
    <row r="269" spans="1:6" x14ac:dyDescent="0.25">
      <c r="A269" s="7" t="s">
        <v>272</v>
      </c>
      <c r="B269" s="8" t="s">
        <v>273</v>
      </c>
      <c r="C269" s="8"/>
      <c r="D269" s="8"/>
      <c r="E269" s="8"/>
      <c r="F269" s="8">
        <v>5</v>
      </c>
    </row>
    <row r="270" spans="1:6" x14ac:dyDescent="0.25">
      <c r="A270" s="7"/>
      <c r="B270" s="8" t="s">
        <v>321</v>
      </c>
      <c r="C270" s="8"/>
      <c r="D270" s="8"/>
      <c r="E270" s="8"/>
      <c r="F270" s="8">
        <v>10</v>
      </c>
    </row>
    <row r="271" spans="1:6" x14ac:dyDescent="0.25">
      <c r="A271" s="8"/>
      <c r="B271" s="8" t="s">
        <v>319</v>
      </c>
      <c r="C271" s="8"/>
      <c r="D271" s="8"/>
      <c r="E271" s="8"/>
      <c r="F271" s="8">
        <v>5</v>
      </c>
    </row>
    <row r="272" spans="1:6" x14ac:dyDescent="0.25">
      <c r="A272" s="8"/>
      <c r="B272" s="8" t="s">
        <v>320</v>
      </c>
      <c r="C272" s="8"/>
      <c r="D272" s="8"/>
      <c r="E272" s="8"/>
      <c r="F272" s="8">
        <v>5</v>
      </c>
    </row>
    <row r="273" spans="1:6" x14ac:dyDescent="0.25">
      <c r="A273" s="8"/>
      <c r="B273" s="8"/>
      <c r="C273" s="8"/>
      <c r="D273" s="22" t="s">
        <v>209</v>
      </c>
      <c r="E273" s="22">
        <f>-SUM(E268:E272)</f>
        <v>0</v>
      </c>
      <c r="F273" s="8"/>
    </row>
    <row r="274" spans="1:6" x14ac:dyDescent="0.25">
      <c r="E274">
        <f>SUM(E268:E272)</f>
        <v>0</v>
      </c>
      <c r="F274">
        <f>SUM(F268:F272)</f>
        <v>30</v>
      </c>
    </row>
    <row r="275" spans="1:6" x14ac:dyDescent="0.25">
      <c r="A275" s="9" t="s">
        <v>34</v>
      </c>
      <c r="B275" s="10" t="s">
        <v>280</v>
      </c>
      <c r="C275" s="10"/>
      <c r="D275" s="10"/>
      <c r="E275" s="10"/>
      <c r="F275" s="10">
        <v>5</v>
      </c>
    </row>
    <row r="276" spans="1:6" x14ac:dyDescent="0.25">
      <c r="A276" s="10"/>
      <c r="B276" s="10" t="s">
        <v>224</v>
      </c>
      <c r="C276" s="10"/>
      <c r="D276" s="10"/>
      <c r="E276" s="10"/>
      <c r="F276" s="10">
        <v>10</v>
      </c>
    </row>
    <row r="277" spans="1:6" x14ac:dyDescent="0.25">
      <c r="A277" s="9"/>
      <c r="B277" s="10" t="s">
        <v>288</v>
      </c>
      <c r="C277" s="10"/>
      <c r="D277" s="10"/>
      <c r="E277" s="10" t="s">
        <v>287</v>
      </c>
      <c r="F277" s="10">
        <v>10</v>
      </c>
    </row>
    <row r="278" spans="1:6" x14ac:dyDescent="0.25">
      <c r="A278" s="10"/>
      <c r="B278" s="10" t="s">
        <v>281</v>
      </c>
      <c r="C278" s="10"/>
      <c r="D278" s="10"/>
      <c r="E278" s="10" t="s">
        <v>287</v>
      </c>
      <c r="F278" s="10">
        <v>10</v>
      </c>
    </row>
    <row r="279" spans="1:6" x14ac:dyDescent="0.25">
      <c r="A279" s="9"/>
      <c r="B279" s="10" t="s">
        <v>203</v>
      </c>
      <c r="C279" s="10"/>
      <c r="D279" s="10"/>
      <c r="E279" s="10" t="s">
        <v>287</v>
      </c>
      <c r="F279" s="10">
        <v>10</v>
      </c>
    </row>
    <row r="280" spans="1:6" x14ac:dyDescent="0.25">
      <c r="A280" s="9"/>
      <c r="B280" s="10" t="s">
        <v>289</v>
      </c>
      <c r="C280" s="10"/>
      <c r="D280" s="10"/>
      <c r="E280" s="10" t="s">
        <v>287</v>
      </c>
      <c r="F280" s="10">
        <v>5</v>
      </c>
    </row>
    <row r="281" spans="1:6" x14ac:dyDescent="0.25">
      <c r="A281" s="9"/>
      <c r="B281" s="10" t="s">
        <v>290</v>
      </c>
      <c r="C281" s="10"/>
      <c r="D281" s="10"/>
      <c r="E281" s="10"/>
      <c r="F281" s="10">
        <v>10</v>
      </c>
    </row>
    <row r="282" spans="1:6" x14ac:dyDescent="0.25">
      <c r="A282" s="10"/>
      <c r="B282" s="10" t="s">
        <v>282</v>
      </c>
      <c r="C282" s="10"/>
      <c r="D282" s="10"/>
      <c r="E282" s="10"/>
      <c r="F282" s="10">
        <v>5</v>
      </c>
    </row>
    <row r="283" spans="1:6" x14ac:dyDescent="0.25">
      <c r="A283" s="10"/>
      <c r="B283" s="10" t="s">
        <v>283</v>
      </c>
      <c r="C283" s="10"/>
      <c r="D283" s="10"/>
      <c r="E283" s="10"/>
      <c r="F283" s="10">
        <v>5</v>
      </c>
    </row>
    <row r="284" spans="1:6" x14ac:dyDescent="0.25">
      <c r="A284" s="10"/>
      <c r="B284" s="10" t="s">
        <v>36</v>
      </c>
      <c r="C284" s="10"/>
      <c r="D284" s="10"/>
      <c r="E284" s="10"/>
      <c r="F284" s="10">
        <v>10</v>
      </c>
    </row>
    <row r="285" spans="1:6" x14ac:dyDescent="0.25">
      <c r="A285" s="10"/>
      <c r="B285" s="10"/>
      <c r="C285" s="10"/>
      <c r="D285" s="22" t="s">
        <v>209</v>
      </c>
      <c r="E285" s="22">
        <f>-SUM(E273:E284)</f>
        <v>0</v>
      </c>
      <c r="F285" s="10"/>
    </row>
    <row r="286" spans="1:6" x14ac:dyDescent="0.25">
      <c r="E286">
        <f>SUM(E275:E284)</f>
        <v>0</v>
      </c>
      <c r="F286">
        <f>SUM(F275:F284)</f>
        <v>80</v>
      </c>
    </row>
    <row r="289" spans="1:6" ht="18.75" x14ac:dyDescent="0.3">
      <c r="A289" s="5" t="s">
        <v>253</v>
      </c>
    </row>
    <row r="290" spans="1:6" x14ac:dyDescent="0.25">
      <c r="A290" s="12" t="s">
        <v>194</v>
      </c>
      <c r="B290" s="12" t="s">
        <v>313</v>
      </c>
      <c r="C290" s="12"/>
      <c r="D290" s="12"/>
      <c r="E290" s="12"/>
      <c r="F290" s="12">
        <v>10</v>
      </c>
    </row>
    <row r="291" spans="1:6" x14ac:dyDescent="0.25">
      <c r="A291" s="14"/>
      <c r="B291" s="14"/>
      <c r="C291" s="12" t="s">
        <v>12</v>
      </c>
      <c r="D291" s="12"/>
      <c r="E291" s="12"/>
      <c r="F291" s="12">
        <v>10</v>
      </c>
    </row>
    <row r="292" spans="1:6" x14ac:dyDescent="0.25">
      <c r="A292" s="14"/>
      <c r="B292" s="14"/>
      <c r="C292" s="12" t="s">
        <v>42</v>
      </c>
      <c r="D292" s="12"/>
      <c r="E292" s="12"/>
      <c r="F292" s="12">
        <v>5</v>
      </c>
    </row>
    <row r="293" spans="1:6" x14ac:dyDescent="0.25">
      <c r="A293" s="14"/>
      <c r="B293" s="14"/>
      <c r="C293" s="12" t="s">
        <v>314</v>
      </c>
      <c r="D293" s="12"/>
      <c r="E293" s="12"/>
      <c r="F293" s="12">
        <v>5</v>
      </c>
    </row>
    <row r="294" spans="1:6" x14ac:dyDescent="0.25">
      <c r="A294" s="14"/>
      <c r="B294" s="14"/>
      <c r="C294" s="12" t="s">
        <v>67</v>
      </c>
      <c r="D294" s="12"/>
      <c r="E294" s="12"/>
      <c r="F294" s="12">
        <v>20</v>
      </c>
    </row>
    <row r="295" spans="1:6" x14ac:dyDescent="0.25">
      <c r="A295" s="12"/>
      <c r="B295" s="12" t="s">
        <v>195</v>
      </c>
      <c r="C295" s="12" t="s">
        <v>56</v>
      </c>
      <c r="D295" s="12"/>
      <c r="E295" s="12"/>
      <c r="F295" s="12">
        <v>15</v>
      </c>
    </row>
    <row r="296" spans="1:6" x14ac:dyDescent="0.25">
      <c r="A296" s="12"/>
      <c r="B296" s="12"/>
      <c r="C296" s="12" t="s">
        <v>196</v>
      </c>
      <c r="D296" s="12"/>
      <c r="E296" s="12"/>
      <c r="F296" s="12">
        <v>15</v>
      </c>
    </row>
    <row r="297" spans="1:6" x14ac:dyDescent="0.25">
      <c r="A297" s="12"/>
      <c r="B297" s="12"/>
      <c r="C297" s="12" t="s">
        <v>198</v>
      </c>
      <c r="D297" s="12"/>
      <c r="E297" s="12"/>
      <c r="F297" s="12">
        <v>15</v>
      </c>
    </row>
    <row r="298" spans="1:6" x14ac:dyDescent="0.25">
      <c r="A298" s="12"/>
      <c r="B298" s="12" t="s">
        <v>197</v>
      </c>
      <c r="C298" s="12" t="s">
        <v>56</v>
      </c>
      <c r="D298" s="12"/>
      <c r="E298" s="12"/>
      <c r="F298" s="12">
        <v>15</v>
      </c>
    </row>
    <row r="299" spans="1:6" x14ac:dyDescent="0.25">
      <c r="A299" s="12"/>
      <c r="B299" s="12"/>
      <c r="C299" s="12" t="s">
        <v>196</v>
      </c>
      <c r="D299" s="12"/>
      <c r="E299" s="12"/>
      <c r="F299" s="12">
        <v>15</v>
      </c>
    </row>
    <row r="300" spans="1:6" x14ac:dyDescent="0.25">
      <c r="A300" s="12"/>
      <c r="B300" s="12"/>
      <c r="C300" s="12" t="s">
        <v>198</v>
      </c>
      <c r="D300" s="12"/>
      <c r="E300" s="12"/>
      <c r="F300" s="12">
        <v>15</v>
      </c>
    </row>
    <row r="301" spans="1:6" x14ac:dyDescent="0.25">
      <c r="A301" s="14" t="s">
        <v>49</v>
      </c>
      <c r="B301" s="14"/>
      <c r="C301" s="12" t="s">
        <v>50</v>
      </c>
      <c r="D301" s="12"/>
      <c r="E301" s="12"/>
      <c r="F301" s="12">
        <v>5</v>
      </c>
    </row>
    <row r="302" spans="1:6" x14ac:dyDescent="0.25">
      <c r="A302" s="14"/>
      <c r="B302" s="14"/>
      <c r="C302" s="12" t="s">
        <v>52</v>
      </c>
      <c r="D302" s="12"/>
      <c r="E302" s="12"/>
      <c r="F302" s="12">
        <v>5</v>
      </c>
    </row>
    <row r="303" spans="1:6" x14ac:dyDescent="0.25">
      <c r="A303" s="14"/>
      <c r="B303" s="14"/>
      <c r="C303" s="12" t="s">
        <v>51</v>
      </c>
      <c r="D303" s="12"/>
      <c r="E303" s="12"/>
      <c r="F303" s="12">
        <v>20</v>
      </c>
    </row>
    <row r="304" spans="1:6" x14ac:dyDescent="0.25">
      <c r="A304" s="14"/>
      <c r="B304" s="14"/>
      <c r="C304" s="12" t="s">
        <v>48</v>
      </c>
      <c r="D304" s="12"/>
      <c r="E304" s="12"/>
      <c r="F304" s="12">
        <v>20</v>
      </c>
    </row>
    <row r="305" spans="1:12" x14ac:dyDescent="0.25">
      <c r="A305" s="14"/>
      <c r="B305" s="14"/>
      <c r="C305" s="12" t="s">
        <v>204</v>
      </c>
      <c r="D305" s="12"/>
      <c r="E305" s="12"/>
      <c r="F305" s="12">
        <v>20</v>
      </c>
    </row>
    <row r="306" spans="1:12" x14ac:dyDescent="0.25">
      <c r="A306" s="14"/>
      <c r="B306" s="14"/>
      <c r="C306" s="12" t="s">
        <v>53</v>
      </c>
      <c r="D306" s="12" t="s">
        <v>58</v>
      </c>
      <c r="E306" s="12"/>
      <c r="F306" s="12">
        <v>3</v>
      </c>
    </row>
    <row r="307" spans="1:12" x14ac:dyDescent="0.25">
      <c r="A307" s="14"/>
      <c r="B307" s="14"/>
      <c r="C307" s="12"/>
      <c r="D307" s="12" t="s">
        <v>59</v>
      </c>
      <c r="E307" s="12"/>
      <c r="F307" s="12">
        <v>3</v>
      </c>
    </row>
    <row r="308" spans="1:12" x14ac:dyDescent="0.25">
      <c r="A308" s="14"/>
      <c r="B308" s="14"/>
      <c r="C308" s="12"/>
      <c r="D308" s="12" t="s">
        <v>60</v>
      </c>
      <c r="E308" s="12"/>
      <c r="F308" s="12">
        <v>3</v>
      </c>
    </row>
    <row r="309" spans="1:12" x14ac:dyDescent="0.25">
      <c r="A309" s="14"/>
      <c r="B309" s="14"/>
      <c r="C309" s="12"/>
      <c r="D309" s="12" t="s">
        <v>46</v>
      </c>
      <c r="E309" s="12"/>
      <c r="F309" s="12">
        <v>3</v>
      </c>
    </row>
    <row r="310" spans="1:12" x14ac:dyDescent="0.25">
      <c r="A310" s="14"/>
      <c r="B310" s="14"/>
      <c r="C310" s="12"/>
      <c r="D310" s="12" t="s">
        <v>61</v>
      </c>
      <c r="E310" s="12"/>
      <c r="F310" s="12">
        <v>3</v>
      </c>
    </row>
    <row r="311" spans="1:12" x14ac:dyDescent="0.25">
      <c r="A311" s="12"/>
      <c r="B311" s="12"/>
      <c r="C311" s="12"/>
      <c r="D311" s="22" t="s">
        <v>209</v>
      </c>
      <c r="E311" s="22">
        <f>-SUM(E290:E300)</f>
        <v>0</v>
      </c>
      <c r="F311" s="12"/>
      <c r="K311" s="19"/>
      <c r="L311" s="19"/>
    </row>
    <row r="312" spans="1:12" s="19" customFormat="1" ht="15.75" x14ac:dyDescent="0.25">
      <c r="D312"/>
      <c r="E312">
        <f>SUM(E290:E311)</f>
        <v>0</v>
      </c>
      <c r="F312" s="19">
        <f>SUM(F290:F310)</f>
        <v>225</v>
      </c>
      <c r="K312" s="17"/>
      <c r="L312" s="17"/>
    </row>
    <row r="313" spans="1:12" x14ac:dyDescent="0.25">
      <c r="A313" s="9" t="s">
        <v>358</v>
      </c>
      <c r="B313" s="9"/>
      <c r="C313" s="10" t="s">
        <v>360</v>
      </c>
      <c r="D313" s="10"/>
      <c r="E313" s="10" t="s">
        <v>287</v>
      </c>
      <c r="F313" s="10">
        <v>10</v>
      </c>
      <c r="G313" s="19"/>
    </row>
    <row r="314" spans="1:12" x14ac:dyDescent="0.25">
      <c r="A314" s="10" t="s">
        <v>305</v>
      </c>
      <c r="B314" s="10"/>
      <c r="C314" s="10" t="s">
        <v>359</v>
      </c>
      <c r="D314" s="10"/>
      <c r="E314" s="10"/>
      <c r="F314" s="10">
        <v>5</v>
      </c>
      <c r="G314" s="19"/>
    </row>
    <row r="315" spans="1:12" x14ac:dyDescent="0.25">
      <c r="A315" s="9"/>
      <c r="B315" s="10"/>
      <c r="C315" s="10" t="s">
        <v>361</v>
      </c>
      <c r="D315" s="10"/>
      <c r="E315" s="10"/>
      <c r="F315" s="10">
        <v>5</v>
      </c>
      <c r="G315" s="19"/>
    </row>
    <row r="316" spans="1:12" x14ac:dyDescent="0.25">
      <c r="A316" s="10"/>
      <c r="B316" s="10"/>
      <c r="C316" s="10" t="s">
        <v>362</v>
      </c>
      <c r="D316" s="10"/>
      <c r="E316" s="10" t="s">
        <v>287</v>
      </c>
      <c r="F316" s="10">
        <v>5</v>
      </c>
      <c r="G316" s="19"/>
    </row>
    <row r="317" spans="1:12" x14ac:dyDescent="0.25">
      <c r="A317" s="10"/>
      <c r="B317" s="10"/>
      <c r="C317" s="10" t="s">
        <v>363</v>
      </c>
      <c r="D317" s="10"/>
      <c r="E317" s="10" t="s">
        <v>287</v>
      </c>
      <c r="F317" s="10">
        <v>5</v>
      </c>
      <c r="G317" s="19"/>
    </row>
    <row r="318" spans="1:12" x14ac:dyDescent="0.25">
      <c r="A318" s="9"/>
      <c r="B318" s="10"/>
      <c r="C318" s="10" t="s">
        <v>364</v>
      </c>
      <c r="D318" s="10"/>
      <c r="E318" s="10" t="s">
        <v>287</v>
      </c>
      <c r="F318" s="10">
        <v>10</v>
      </c>
      <c r="G318" s="19"/>
    </row>
    <row r="319" spans="1:12" x14ac:dyDescent="0.25">
      <c r="A319" s="9"/>
      <c r="B319" s="10"/>
      <c r="C319" s="10" t="s">
        <v>365</v>
      </c>
      <c r="D319" s="10"/>
      <c r="E319" s="10" t="s">
        <v>287</v>
      </c>
      <c r="F319" s="10">
        <v>10</v>
      </c>
      <c r="G319" s="19"/>
    </row>
    <row r="320" spans="1:12" x14ac:dyDescent="0.25">
      <c r="A320" s="10"/>
      <c r="B320" s="10"/>
      <c r="C320" s="10"/>
      <c r="D320" s="22" t="s">
        <v>209</v>
      </c>
      <c r="E320" s="22">
        <f>-SUM(E313:E319)</f>
        <v>0</v>
      </c>
      <c r="G320" s="19"/>
    </row>
    <row r="321" spans="1:12" s="19" customFormat="1" ht="15.75" x14ac:dyDescent="0.25">
      <c r="D321"/>
      <c r="E321" s="19">
        <f>SUM(E313:E320)</f>
        <v>0</v>
      </c>
      <c r="F321" s="19">
        <f>SUM(F313:F319)</f>
        <v>50</v>
      </c>
      <c r="K321" s="17"/>
      <c r="L321" s="17"/>
    </row>
    <row r="322" spans="1:12" s="19" customFormat="1" ht="15.75" x14ac:dyDescent="0.25">
      <c r="D322"/>
      <c r="E322"/>
      <c r="K322" s="17"/>
      <c r="L322" s="17"/>
    </row>
    <row r="323" spans="1:12" s="19" customFormat="1" ht="15.75" x14ac:dyDescent="0.25">
      <c r="D323"/>
      <c r="E323"/>
      <c r="K323" s="17"/>
      <c r="L323" s="17"/>
    </row>
    <row r="324" spans="1:12" x14ac:dyDescent="0.25">
      <c r="A324" s="13" t="s">
        <v>274</v>
      </c>
      <c r="B324" s="11" t="s">
        <v>275</v>
      </c>
      <c r="C324" s="11"/>
      <c r="D324" s="11"/>
      <c r="E324" s="11"/>
      <c r="F324" s="11">
        <v>5</v>
      </c>
    </row>
    <row r="325" spans="1:12" x14ac:dyDescent="0.25">
      <c r="A325" s="11"/>
      <c r="B325" s="11" t="s">
        <v>276</v>
      </c>
      <c r="C325" s="11"/>
      <c r="D325" s="11"/>
      <c r="E325" s="11"/>
      <c r="F325" s="11">
        <v>10</v>
      </c>
    </row>
    <row r="326" spans="1:12" x14ac:dyDescent="0.25">
      <c r="A326" s="11"/>
      <c r="B326" s="11" t="s">
        <v>111</v>
      </c>
      <c r="C326" s="11"/>
      <c r="D326" s="11"/>
      <c r="E326" s="11"/>
      <c r="F326" s="11">
        <v>10</v>
      </c>
    </row>
    <row r="327" spans="1:12" x14ac:dyDescent="0.25">
      <c r="A327" s="13" t="s">
        <v>277</v>
      </c>
      <c r="B327" s="11" t="s">
        <v>278</v>
      </c>
      <c r="C327" s="11"/>
      <c r="D327" s="11"/>
      <c r="E327" s="11"/>
      <c r="F327" s="11">
        <v>5</v>
      </c>
    </row>
    <row r="328" spans="1:12" x14ac:dyDescent="0.25">
      <c r="A328" s="11"/>
      <c r="B328" s="11" t="s">
        <v>279</v>
      </c>
      <c r="C328" s="11"/>
      <c r="D328" s="11"/>
      <c r="E328" s="11"/>
      <c r="F328" s="11">
        <v>15</v>
      </c>
    </row>
    <row r="329" spans="1:12" x14ac:dyDescent="0.25">
      <c r="A329" s="13" t="s">
        <v>322</v>
      </c>
      <c r="B329" s="11"/>
      <c r="C329" s="11" t="s">
        <v>199</v>
      </c>
      <c r="D329" s="11"/>
      <c r="E329" s="11"/>
      <c r="F329" s="11">
        <v>5</v>
      </c>
    </row>
    <row r="330" spans="1:12" x14ac:dyDescent="0.25">
      <c r="A330" s="11"/>
      <c r="B330" s="11"/>
      <c r="C330" s="11" t="s">
        <v>205</v>
      </c>
      <c r="D330" s="11"/>
      <c r="E330" s="11"/>
      <c r="F330" s="11">
        <v>5</v>
      </c>
    </row>
    <row r="331" spans="1:12" x14ac:dyDescent="0.25">
      <c r="A331" s="11"/>
      <c r="B331" s="11"/>
      <c r="C331" s="11" t="s">
        <v>200</v>
      </c>
      <c r="D331" s="11"/>
      <c r="E331" s="11"/>
      <c r="F331" s="11">
        <v>5</v>
      </c>
    </row>
    <row r="332" spans="1:12" x14ac:dyDescent="0.25">
      <c r="A332" s="11"/>
      <c r="B332" s="11"/>
      <c r="C332" s="11"/>
      <c r="D332" s="22" t="s">
        <v>209</v>
      </c>
      <c r="E332" s="22">
        <f>-SUM(E324:E331)</f>
        <v>0</v>
      </c>
      <c r="F332" s="11"/>
    </row>
    <row r="333" spans="1:12" x14ac:dyDescent="0.25">
      <c r="E333">
        <f>SUM(E324:E328)</f>
        <v>0</v>
      </c>
      <c r="F333">
        <f>SUM(F324:F332)</f>
        <v>60</v>
      </c>
    </row>
    <row r="335" spans="1:12" s="17" customFormat="1" ht="18.75" x14ac:dyDescent="0.3">
      <c r="A335" s="5" t="s">
        <v>254</v>
      </c>
      <c r="K335"/>
      <c r="L335"/>
    </row>
    <row r="336" spans="1:12" x14ac:dyDescent="0.25">
      <c r="A336" s="26" t="s">
        <v>154</v>
      </c>
      <c r="B336" s="11" t="s">
        <v>154</v>
      </c>
      <c r="C336" s="11" t="s">
        <v>153</v>
      </c>
      <c r="D336" s="11"/>
      <c r="E336" s="11">
        <v>0</v>
      </c>
      <c r="F336" s="11">
        <v>4</v>
      </c>
      <c r="G336" s="19"/>
      <c r="H336" s="19"/>
    </row>
    <row r="337" spans="1:6" x14ac:dyDescent="0.25">
      <c r="A337" s="11"/>
      <c r="B337" s="11"/>
      <c r="C337" s="11" t="s">
        <v>155</v>
      </c>
      <c r="D337" s="11"/>
      <c r="E337" s="11">
        <v>0</v>
      </c>
      <c r="F337" s="11">
        <v>4</v>
      </c>
    </row>
    <row r="338" spans="1:6" x14ac:dyDescent="0.25">
      <c r="A338" s="11"/>
      <c r="B338" s="11"/>
      <c r="C338" s="11" t="s">
        <v>5</v>
      </c>
      <c r="D338" s="11"/>
      <c r="E338" s="11">
        <v>0</v>
      </c>
      <c r="F338" s="11">
        <v>5</v>
      </c>
    </row>
    <row r="339" spans="1:6" x14ac:dyDescent="0.25">
      <c r="A339" s="11"/>
      <c r="B339" s="11"/>
      <c r="C339" s="11" t="s">
        <v>156</v>
      </c>
      <c r="D339" s="11"/>
      <c r="E339" s="11">
        <v>0</v>
      </c>
      <c r="F339" s="11">
        <v>4</v>
      </c>
    </row>
    <row r="340" spans="1:6" x14ac:dyDescent="0.25">
      <c r="A340" s="11"/>
      <c r="B340" s="11"/>
      <c r="C340" s="11" t="s">
        <v>157</v>
      </c>
      <c r="D340" s="11"/>
      <c r="E340" s="11">
        <v>0</v>
      </c>
      <c r="F340" s="11">
        <v>4</v>
      </c>
    </row>
    <row r="341" spans="1:6" x14ac:dyDescent="0.25">
      <c r="A341" s="11"/>
      <c r="B341" s="11"/>
      <c r="C341" s="11" t="s">
        <v>158</v>
      </c>
      <c r="D341" s="11"/>
      <c r="E341" s="11">
        <v>0</v>
      </c>
      <c r="F341" s="11">
        <v>4</v>
      </c>
    </row>
    <row r="342" spans="1:6" x14ac:dyDescent="0.25">
      <c r="A342" s="11"/>
      <c r="B342" s="11"/>
      <c r="C342" s="11"/>
      <c r="D342" s="22" t="s">
        <v>209</v>
      </c>
      <c r="E342" s="22">
        <f>-SUM(E336:E341)</f>
        <v>0</v>
      </c>
    </row>
    <row r="343" spans="1:6" x14ac:dyDescent="0.25">
      <c r="E343">
        <f>SUM(E336:E342)</f>
        <v>0</v>
      </c>
      <c r="F343">
        <f>SUM(F336:F341)</f>
        <v>25</v>
      </c>
    </row>
    <row r="344" spans="1:6" x14ac:dyDescent="0.25">
      <c r="A344" s="13" t="s">
        <v>40</v>
      </c>
      <c r="B344" s="13"/>
      <c r="C344" s="15" t="s">
        <v>64</v>
      </c>
      <c r="D344" s="11"/>
      <c r="E344" s="11"/>
      <c r="F344" s="11">
        <v>10</v>
      </c>
    </row>
    <row r="345" spans="1:6" x14ac:dyDescent="0.25">
      <c r="A345" s="13"/>
      <c r="B345" s="13"/>
      <c r="C345" s="15" t="s">
        <v>65</v>
      </c>
      <c r="D345" s="11"/>
      <c r="E345" s="11"/>
      <c r="F345" s="11">
        <v>5</v>
      </c>
    </row>
    <row r="346" spans="1:6" x14ac:dyDescent="0.25">
      <c r="A346" s="13"/>
      <c r="B346" s="13"/>
      <c r="C346" s="15" t="s">
        <v>106</v>
      </c>
      <c r="D346" s="11"/>
      <c r="E346" s="11"/>
      <c r="F346" s="11">
        <v>5</v>
      </c>
    </row>
    <row r="347" spans="1:6" x14ac:dyDescent="0.25">
      <c r="A347" s="13"/>
      <c r="B347" s="13"/>
      <c r="C347" s="11"/>
      <c r="D347" s="11"/>
      <c r="E347" s="11"/>
      <c r="F347" s="11"/>
    </row>
    <row r="348" spans="1:6" x14ac:dyDescent="0.25">
      <c r="A348" s="13" t="s">
        <v>104</v>
      </c>
      <c r="B348" s="13"/>
      <c r="C348" s="11" t="s">
        <v>65</v>
      </c>
      <c r="D348" s="11"/>
      <c r="E348" s="11"/>
      <c r="F348" s="11">
        <v>5</v>
      </c>
    </row>
    <row r="349" spans="1:6" x14ac:dyDescent="0.25">
      <c r="A349" s="13"/>
      <c r="B349" s="13"/>
      <c r="C349" s="11" t="s">
        <v>105</v>
      </c>
      <c r="D349" s="11"/>
      <c r="E349" s="11"/>
      <c r="F349" s="11">
        <v>5</v>
      </c>
    </row>
    <row r="350" spans="1:6" x14ac:dyDescent="0.25">
      <c r="A350" s="13"/>
      <c r="B350" s="13"/>
      <c r="C350" s="11" t="s">
        <v>106</v>
      </c>
      <c r="D350" s="11"/>
      <c r="E350" s="11"/>
      <c r="F350" s="11">
        <v>5</v>
      </c>
    </row>
    <row r="351" spans="1:6" x14ac:dyDescent="0.25">
      <c r="A351" s="13"/>
      <c r="B351" s="13"/>
      <c r="C351" s="11"/>
      <c r="D351" s="11"/>
      <c r="E351" s="11"/>
      <c r="F351" s="11"/>
    </row>
    <row r="352" spans="1:6" x14ac:dyDescent="0.25">
      <c r="A352" s="13" t="s">
        <v>202</v>
      </c>
      <c r="B352" s="13"/>
      <c r="C352" s="11" t="s">
        <v>65</v>
      </c>
      <c r="D352" s="11"/>
      <c r="E352" s="11"/>
      <c r="F352" s="11">
        <v>5</v>
      </c>
    </row>
    <row r="353" spans="1:13" x14ac:dyDescent="0.25">
      <c r="A353" s="13"/>
      <c r="B353" s="13"/>
      <c r="C353" s="11" t="s">
        <v>105</v>
      </c>
      <c r="D353" s="11"/>
      <c r="E353" s="11"/>
      <c r="F353" s="11">
        <v>5</v>
      </c>
    </row>
    <row r="354" spans="1:13" x14ac:dyDescent="0.25">
      <c r="A354" s="13"/>
      <c r="B354" s="13"/>
      <c r="C354" s="11" t="s">
        <v>106</v>
      </c>
      <c r="D354" s="11"/>
      <c r="E354" s="11"/>
      <c r="F354" s="11">
        <v>5</v>
      </c>
    </row>
    <row r="355" spans="1:13" x14ac:dyDescent="0.25">
      <c r="A355" s="13"/>
      <c r="B355" s="13"/>
      <c r="C355" s="11"/>
      <c r="D355" s="22" t="s">
        <v>209</v>
      </c>
      <c r="E355" s="22">
        <f>-SUM(E344:E354)</f>
        <v>0</v>
      </c>
      <c r="F355" s="11"/>
    </row>
    <row r="356" spans="1:13" x14ac:dyDescent="0.25">
      <c r="A356" s="1"/>
      <c r="B356" s="1"/>
      <c r="E356">
        <f>-SUM(E344:E355)</f>
        <v>0</v>
      </c>
      <c r="F356">
        <f>SUM(F344:F354)</f>
        <v>50</v>
      </c>
      <c r="M356" s="21"/>
    </row>
    <row r="357" spans="1:13" x14ac:dyDescent="0.25">
      <c r="A357" s="14" t="s">
        <v>41</v>
      </c>
      <c r="B357" s="14"/>
      <c r="C357" s="12" t="s">
        <v>201</v>
      </c>
      <c r="D357" s="12"/>
      <c r="E357" s="12"/>
      <c r="F357" s="12">
        <v>5</v>
      </c>
      <c r="M357" s="21"/>
    </row>
    <row r="358" spans="1:13" x14ac:dyDescent="0.25">
      <c r="A358" s="14"/>
      <c r="B358" s="14"/>
      <c r="C358" s="12" t="s">
        <v>43</v>
      </c>
      <c r="D358" s="12"/>
      <c r="E358" s="12"/>
      <c r="F358" s="12">
        <v>5</v>
      </c>
      <c r="M358" s="21"/>
    </row>
    <row r="359" spans="1:13" x14ac:dyDescent="0.25">
      <c r="A359" s="14"/>
      <c r="B359" s="14"/>
      <c r="C359" s="12"/>
      <c r="D359" s="22" t="s">
        <v>209</v>
      </c>
      <c r="E359" s="22">
        <f>-SUM(E357:E358)</f>
        <v>0</v>
      </c>
      <c r="F359" s="12"/>
      <c r="M359" s="21"/>
    </row>
    <row r="360" spans="1:13" x14ac:dyDescent="0.25">
      <c r="A360" s="1"/>
      <c r="B360" s="1"/>
      <c r="E360">
        <f>-SUM(E357:E359)</f>
        <v>0</v>
      </c>
      <c r="F360">
        <f>SUM(F357:F358)</f>
        <v>10</v>
      </c>
    </row>
    <row r="362" spans="1:13" x14ac:dyDescent="0.25">
      <c r="A362" s="1" t="s">
        <v>5</v>
      </c>
      <c r="B362" s="9" t="s">
        <v>54</v>
      </c>
      <c r="C362" s="10" t="s">
        <v>55</v>
      </c>
      <c r="D362" s="10"/>
      <c r="E362" s="10"/>
      <c r="F362" s="10">
        <v>5</v>
      </c>
    </row>
    <row r="363" spans="1:13" x14ac:dyDescent="0.25">
      <c r="A363" s="1" t="s">
        <v>317</v>
      </c>
      <c r="B363" s="10"/>
      <c r="C363" s="10" t="s">
        <v>56</v>
      </c>
      <c r="D363" s="10"/>
      <c r="E363" s="10"/>
      <c r="F363" s="10">
        <v>5</v>
      </c>
    </row>
    <row r="364" spans="1:13" x14ac:dyDescent="0.25">
      <c r="A364" s="1"/>
      <c r="B364" s="10"/>
      <c r="C364" s="10" t="s">
        <v>45</v>
      </c>
      <c r="D364" s="10"/>
      <c r="E364" s="10"/>
      <c r="F364" s="10">
        <v>5</v>
      </c>
    </row>
    <row r="365" spans="1:13" x14ac:dyDescent="0.25">
      <c r="A365" s="1"/>
      <c r="B365" s="10"/>
      <c r="C365" s="10" t="s">
        <v>222</v>
      </c>
      <c r="D365" s="10"/>
      <c r="E365" s="10"/>
      <c r="F365" s="10">
        <v>5</v>
      </c>
    </row>
    <row r="366" spans="1:13" x14ac:dyDescent="0.25">
      <c r="A366" s="1"/>
      <c r="B366" s="10"/>
      <c r="C366" s="10" t="s">
        <v>221</v>
      </c>
      <c r="D366" s="10"/>
      <c r="E366" s="10"/>
      <c r="F366" s="10">
        <v>5</v>
      </c>
    </row>
    <row r="367" spans="1:13" x14ac:dyDescent="0.25">
      <c r="A367" s="1"/>
      <c r="B367" s="10"/>
      <c r="C367" s="10" t="s">
        <v>318</v>
      </c>
      <c r="D367" s="10"/>
      <c r="E367" s="10"/>
      <c r="F367" s="10">
        <v>5</v>
      </c>
    </row>
    <row r="368" spans="1:13" x14ac:dyDescent="0.25">
      <c r="A368" s="1"/>
      <c r="B368" s="10"/>
      <c r="C368" s="10" t="s">
        <v>57</v>
      </c>
      <c r="D368" s="10"/>
      <c r="E368" s="10"/>
      <c r="F368" s="10">
        <v>5</v>
      </c>
    </row>
    <row r="369" spans="1:12" x14ac:dyDescent="0.25">
      <c r="A369" s="1"/>
      <c r="B369" s="10"/>
      <c r="C369" s="10" t="s">
        <v>85</v>
      </c>
      <c r="D369" s="10"/>
      <c r="E369" s="10"/>
      <c r="F369" s="10">
        <v>5</v>
      </c>
    </row>
    <row r="370" spans="1:12" x14ac:dyDescent="0.25">
      <c r="A370" s="1"/>
      <c r="B370" s="10"/>
      <c r="C370" s="10"/>
      <c r="D370" s="22" t="s">
        <v>209</v>
      </c>
      <c r="E370" s="22">
        <f>-SUM(E362:E369)</f>
        <v>0</v>
      </c>
      <c r="F370" s="10"/>
    </row>
    <row r="371" spans="1:12" x14ac:dyDescent="0.25">
      <c r="A371" s="1"/>
      <c r="B371" s="1"/>
      <c r="E371">
        <f>-SUM(E362:E370)</f>
        <v>0</v>
      </c>
      <c r="F371">
        <f>SUM(F362:F369)</f>
        <v>40</v>
      </c>
    </row>
    <row r="372" spans="1:12" x14ac:dyDescent="0.25">
      <c r="A372" s="1"/>
      <c r="B372" s="13" t="s">
        <v>54</v>
      </c>
      <c r="C372" s="11" t="s">
        <v>55</v>
      </c>
      <c r="D372" s="11"/>
      <c r="E372" s="11"/>
      <c r="F372" s="11">
        <v>5</v>
      </c>
    </row>
    <row r="373" spans="1:12" x14ac:dyDescent="0.25">
      <c r="A373" s="1"/>
      <c r="B373" s="11"/>
      <c r="C373" s="11" t="s">
        <v>56</v>
      </c>
      <c r="D373" s="11"/>
      <c r="E373" s="11"/>
      <c r="F373" s="11">
        <v>5</v>
      </c>
    </row>
    <row r="374" spans="1:12" x14ac:dyDescent="0.25">
      <c r="A374" s="1"/>
      <c r="B374" s="11"/>
      <c r="C374" s="11" t="s">
        <v>45</v>
      </c>
      <c r="D374" s="11"/>
      <c r="E374" s="11"/>
      <c r="F374" s="11">
        <v>5</v>
      </c>
    </row>
    <row r="375" spans="1:12" x14ac:dyDescent="0.25">
      <c r="A375" s="1"/>
      <c r="B375" s="11"/>
      <c r="C375" s="11" t="s">
        <v>222</v>
      </c>
      <c r="D375" s="11"/>
      <c r="E375" s="11"/>
      <c r="F375" s="11">
        <v>5</v>
      </c>
    </row>
    <row r="376" spans="1:12" x14ac:dyDescent="0.25">
      <c r="A376" s="1"/>
      <c r="B376" s="11"/>
      <c r="C376" s="11" t="s">
        <v>221</v>
      </c>
      <c r="D376" s="11"/>
      <c r="E376" s="11"/>
      <c r="F376" s="11">
        <v>5</v>
      </c>
    </row>
    <row r="377" spans="1:12" x14ac:dyDescent="0.25">
      <c r="A377" s="1"/>
      <c r="B377" s="11"/>
      <c r="C377" s="11" t="s">
        <v>318</v>
      </c>
      <c r="D377" s="11"/>
      <c r="E377" s="11"/>
      <c r="F377" s="11">
        <v>5</v>
      </c>
      <c r="K377" s="19"/>
      <c r="L377" s="19"/>
    </row>
    <row r="378" spans="1:12" s="19" customFormat="1" x14ac:dyDescent="0.25">
      <c r="A378" s="1"/>
      <c r="B378" s="11"/>
      <c r="C378" s="11" t="s">
        <v>57</v>
      </c>
      <c r="D378" s="11"/>
      <c r="E378" s="11"/>
      <c r="F378" s="11">
        <v>5</v>
      </c>
      <c r="K378"/>
      <c r="L378"/>
    </row>
    <row r="379" spans="1:12" x14ac:dyDescent="0.25">
      <c r="A379" s="1"/>
      <c r="B379" s="11"/>
      <c r="C379" s="11" t="s">
        <v>85</v>
      </c>
      <c r="D379" s="11"/>
      <c r="E379" s="11"/>
      <c r="F379" s="11">
        <v>5</v>
      </c>
    </row>
    <row r="380" spans="1:12" x14ac:dyDescent="0.25">
      <c r="A380" s="1"/>
      <c r="B380" s="11"/>
      <c r="C380" s="11"/>
      <c r="D380" s="22" t="s">
        <v>209</v>
      </c>
      <c r="E380" s="22">
        <f>-SUM(E372:E379)</f>
        <v>0</v>
      </c>
      <c r="F380" s="11"/>
    </row>
    <row r="381" spans="1:12" x14ac:dyDescent="0.25">
      <c r="A381" s="1"/>
      <c r="B381" s="1"/>
      <c r="E381">
        <f>-SUM(E372:E380)</f>
        <v>0</v>
      </c>
      <c r="F381">
        <f>SUM(F372:F379)</f>
        <v>40</v>
      </c>
    </row>
    <row r="382" spans="1:12" x14ac:dyDescent="0.25">
      <c r="A382" s="1"/>
      <c r="B382" s="14" t="s">
        <v>54</v>
      </c>
      <c r="C382" s="12" t="s">
        <v>55</v>
      </c>
      <c r="D382" s="12"/>
      <c r="E382" s="12"/>
      <c r="F382" s="12">
        <v>5</v>
      </c>
    </row>
    <row r="383" spans="1:12" x14ac:dyDescent="0.25">
      <c r="A383" s="1"/>
      <c r="B383" s="12"/>
      <c r="C383" s="12" t="s">
        <v>56</v>
      </c>
      <c r="D383" s="12"/>
      <c r="E383" s="12"/>
      <c r="F383" s="12">
        <v>5</v>
      </c>
    </row>
    <row r="384" spans="1:12" x14ac:dyDescent="0.25">
      <c r="A384" s="1"/>
      <c r="B384" s="12"/>
      <c r="C384" s="12" t="s">
        <v>45</v>
      </c>
      <c r="D384" s="12"/>
      <c r="E384" s="12"/>
      <c r="F384" s="12">
        <v>5</v>
      </c>
    </row>
    <row r="385" spans="1:6" x14ac:dyDescent="0.25">
      <c r="A385" s="1"/>
      <c r="B385" s="12"/>
      <c r="C385" s="12" t="str">
        <f t="shared" ref="C385:C388" si="5">C375</f>
        <v>Example -Description</v>
      </c>
      <c r="D385" s="12"/>
      <c r="E385" s="12"/>
      <c r="F385" s="12">
        <v>5</v>
      </c>
    </row>
    <row r="386" spans="1:6" x14ac:dyDescent="0.25">
      <c r="A386" s="1"/>
      <c r="B386" s="12"/>
      <c r="C386" s="12" t="str">
        <f t="shared" si="5"/>
        <v>Example - Manual</v>
      </c>
      <c r="D386" s="12"/>
      <c r="E386" s="12"/>
      <c r="F386" s="12">
        <v>5</v>
      </c>
    </row>
    <row r="387" spans="1:6" x14ac:dyDescent="0.25">
      <c r="A387" s="1"/>
      <c r="B387" s="12"/>
      <c r="C387" s="12" t="str">
        <f t="shared" si="5"/>
        <v>Example - Code</v>
      </c>
      <c r="D387" s="12"/>
      <c r="E387" s="12"/>
      <c r="F387" s="12">
        <v>5</v>
      </c>
    </row>
    <row r="388" spans="1:6" x14ac:dyDescent="0.25">
      <c r="A388" s="1"/>
      <c r="B388" s="12"/>
      <c r="C388" s="12" t="str">
        <f t="shared" si="5"/>
        <v>Example - Files</v>
      </c>
      <c r="D388" s="12"/>
      <c r="E388" s="12"/>
      <c r="F388" s="12">
        <v>5</v>
      </c>
    </row>
    <row r="389" spans="1:6" x14ac:dyDescent="0.25">
      <c r="A389" s="1"/>
      <c r="B389" s="12"/>
      <c r="C389" s="12" t="s">
        <v>85</v>
      </c>
      <c r="D389" s="12"/>
      <c r="E389" s="12"/>
      <c r="F389" s="12">
        <v>5</v>
      </c>
    </row>
    <row r="390" spans="1:6" x14ac:dyDescent="0.25">
      <c r="A390" s="1"/>
      <c r="B390" s="12"/>
      <c r="C390" s="12"/>
      <c r="D390" s="22" t="s">
        <v>209</v>
      </c>
      <c r="E390" s="22">
        <f>-SUM(E382:E389)</f>
        <v>0</v>
      </c>
      <c r="F390" s="12"/>
    </row>
    <row r="391" spans="1:6" x14ac:dyDescent="0.25">
      <c r="A391" s="1"/>
      <c r="B391" s="1"/>
      <c r="E391">
        <f>-SUM(E382:E390)</f>
        <v>0</v>
      </c>
      <c r="F391">
        <f>SUM(F382:F389)</f>
        <v>40</v>
      </c>
    </row>
    <row r="393" spans="1:6" ht="18.75" x14ac:dyDescent="0.3">
      <c r="A393" s="5" t="s">
        <v>255</v>
      </c>
    </row>
    <row r="394" spans="1:6" x14ac:dyDescent="0.25">
      <c r="A394" s="7" t="s">
        <v>312</v>
      </c>
      <c r="B394" s="8"/>
      <c r="C394" s="8"/>
      <c r="D394" s="8"/>
      <c r="E394" s="8"/>
      <c r="F394" s="8"/>
    </row>
    <row r="395" spans="1:6" x14ac:dyDescent="0.25">
      <c r="A395" s="7"/>
      <c r="B395" s="8"/>
      <c r="C395" s="8"/>
      <c r="D395" s="8"/>
      <c r="E395" s="8"/>
      <c r="F395" s="8"/>
    </row>
    <row r="396" spans="1:6" x14ac:dyDescent="0.25">
      <c r="A396" s="7"/>
      <c r="B396" s="8" t="s">
        <v>158</v>
      </c>
      <c r="C396" s="8"/>
      <c r="D396" s="8"/>
      <c r="E396" s="8"/>
      <c r="F396" s="8"/>
    </row>
    <row r="397" spans="1:6" x14ac:dyDescent="0.25">
      <c r="A397" s="7"/>
      <c r="B397" s="8" t="s">
        <v>159</v>
      </c>
      <c r="C397" s="8"/>
      <c r="D397" s="8"/>
      <c r="E397" s="8"/>
      <c r="F397" s="8">
        <v>25</v>
      </c>
    </row>
    <row r="398" spans="1:6" x14ac:dyDescent="0.25">
      <c r="A398" s="7"/>
      <c r="B398" s="8" t="s">
        <v>160</v>
      </c>
      <c r="C398" s="8"/>
      <c r="D398" s="8"/>
      <c r="E398" s="8"/>
      <c r="F398" s="8">
        <v>5</v>
      </c>
    </row>
    <row r="399" spans="1:6" x14ac:dyDescent="0.25">
      <c r="A399" s="7"/>
      <c r="B399" s="8" t="s">
        <v>161</v>
      </c>
      <c r="C399" s="8" t="s">
        <v>162</v>
      </c>
      <c r="D399" s="8"/>
      <c r="E399" s="8"/>
      <c r="F399" s="8">
        <v>5</v>
      </c>
    </row>
    <row r="400" spans="1:6" x14ac:dyDescent="0.25">
      <c r="A400" s="7"/>
      <c r="B400" s="8"/>
      <c r="C400" s="8" t="s">
        <v>27</v>
      </c>
      <c r="D400" s="8"/>
      <c r="E400" s="8"/>
      <c r="F400" s="8">
        <v>5</v>
      </c>
    </row>
    <row r="401" spans="1:6" x14ac:dyDescent="0.25">
      <c r="A401" s="7"/>
      <c r="B401" s="8" t="s">
        <v>163</v>
      </c>
      <c r="C401" s="8" t="s">
        <v>164</v>
      </c>
      <c r="D401" s="8"/>
      <c r="E401" s="8"/>
      <c r="F401" s="8">
        <v>5</v>
      </c>
    </row>
    <row r="402" spans="1:6" x14ac:dyDescent="0.25">
      <c r="A402" s="7"/>
      <c r="B402" s="8"/>
      <c r="C402" s="8" t="s">
        <v>3</v>
      </c>
      <c r="D402" s="8"/>
      <c r="E402" s="8"/>
      <c r="F402" s="8">
        <v>5</v>
      </c>
    </row>
    <row r="403" spans="1:6" x14ac:dyDescent="0.25">
      <c r="A403" s="7"/>
      <c r="B403" s="8"/>
      <c r="C403" s="8" t="s">
        <v>165</v>
      </c>
      <c r="D403" s="8"/>
      <c r="E403" s="8"/>
      <c r="F403" s="8">
        <v>5</v>
      </c>
    </row>
    <row r="404" spans="1:6" x14ac:dyDescent="0.25">
      <c r="A404" s="7"/>
      <c r="B404" s="8"/>
      <c r="C404" s="8" t="s">
        <v>166</v>
      </c>
      <c r="D404" s="8"/>
      <c r="E404" s="8"/>
      <c r="F404" s="8">
        <v>5</v>
      </c>
    </row>
    <row r="405" spans="1:6" x14ac:dyDescent="0.25">
      <c r="A405" s="7"/>
      <c r="B405" s="8"/>
      <c r="C405" s="8" t="s">
        <v>5</v>
      </c>
      <c r="D405" s="8"/>
      <c r="E405" s="8"/>
      <c r="F405" s="8">
        <v>5</v>
      </c>
    </row>
    <row r="406" spans="1:6" x14ac:dyDescent="0.25">
      <c r="A406" s="7"/>
      <c r="B406" s="8"/>
      <c r="C406" s="8"/>
      <c r="D406" s="22" t="s">
        <v>209</v>
      </c>
      <c r="E406" s="22">
        <f>-SUM(E289:E405)</f>
        <v>0</v>
      </c>
      <c r="F406" s="8"/>
    </row>
    <row r="407" spans="1:6" x14ac:dyDescent="0.25">
      <c r="A407" s="1"/>
      <c r="E407">
        <f>SUM(E394:E406)</f>
        <v>0</v>
      </c>
      <c r="F407">
        <f>SUM(F394:F405)</f>
        <v>65</v>
      </c>
    </row>
    <row r="408" spans="1:6" x14ac:dyDescent="0.25">
      <c r="A408" s="1"/>
    </row>
    <row r="409" spans="1:6" x14ac:dyDescent="0.25">
      <c r="A409" s="9" t="s">
        <v>91</v>
      </c>
      <c r="B409" s="10" t="s">
        <v>92</v>
      </c>
      <c r="C409" s="10"/>
      <c r="D409" s="10"/>
      <c r="E409" s="10"/>
      <c r="F409" s="10">
        <v>100</v>
      </c>
    </row>
    <row r="410" spans="1:6" x14ac:dyDescent="0.25">
      <c r="A410" s="10"/>
      <c r="B410" s="10" t="s">
        <v>93</v>
      </c>
      <c r="C410" s="10"/>
      <c r="D410" s="10"/>
      <c r="E410" s="10"/>
      <c r="F410" s="10">
        <v>100</v>
      </c>
    </row>
    <row r="411" spans="1:6" x14ac:dyDescent="0.25">
      <c r="A411" s="10"/>
      <c r="B411" s="10" t="s">
        <v>94</v>
      </c>
      <c r="C411" s="10"/>
      <c r="D411" s="10"/>
      <c r="E411" s="10"/>
      <c r="F411" s="10">
        <v>100</v>
      </c>
    </row>
    <row r="412" spans="1:6" x14ac:dyDescent="0.25">
      <c r="A412" s="10"/>
      <c r="B412" s="10" t="s">
        <v>95</v>
      </c>
      <c r="C412" s="10"/>
      <c r="D412" s="10"/>
      <c r="E412" s="10"/>
      <c r="F412" s="10">
        <v>100</v>
      </c>
    </row>
    <row r="413" spans="1:6" x14ac:dyDescent="0.25">
      <c r="A413" s="9" t="s">
        <v>103</v>
      </c>
      <c r="B413" s="10"/>
      <c r="C413" s="10"/>
      <c r="D413" s="10"/>
      <c r="E413" s="10"/>
      <c r="F413" s="10"/>
    </row>
    <row r="414" spans="1:6" x14ac:dyDescent="0.25">
      <c r="A414" s="9"/>
      <c r="B414" s="10" t="s">
        <v>119</v>
      </c>
      <c r="C414" s="10"/>
      <c r="D414" s="10"/>
      <c r="E414" s="10"/>
      <c r="F414" s="10">
        <v>50</v>
      </c>
    </row>
    <row r="415" spans="1:6" x14ac:dyDescent="0.25">
      <c r="A415" s="10"/>
      <c r="B415" s="10" t="s">
        <v>120</v>
      </c>
      <c r="C415" s="10"/>
      <c r="D415" s="10"/>
      <c r="E415" s="10">
        <v>-300</v>
      </c>
      <c r="F415" s="10">
        <v>0</v>
      </c>
    </row>
    <row r="416" spans="1:6" x14ac:dyDescent="0.25">
      <c r="A416" s="10"/>
      <c r="B416" s="10" t="s">
        <v>121</v>
      </c>
      <c r="C416" s="10"/>
      <c r="D416" s="10"/>
      <c r="E416" s="10">
        <v>-300</v>
      </c>
      <c r="F416" s="10">
        <v>0</v>
      </c>
    </row>
    <row r="417" spans="1:17" x14ac:dyDescent="0.25">
      <c r="A417" s="10"/>
      <c r="B417" s="10" t="s">
        <v>122</v>
      </c>
      <c r="C417" s="10"/>
      <c r="D417" s="10"/>
      <c r="E417" s="10"/>
      <c r="F417" s="10">
        <v>100</v>
      </c>
    </row>
    <row r="418" spans="1:17" x14ac:dyDescent="0.25">
      <c r="A418" s="10"/>
      <c r="B418" s="10"/>
      <c r="C418" s="10"/>
      <c r="D418" s="10"/>
      <c r="E418" s="10"/>
      <c r="F418" s="10"/>
    </row>
    <row r="419" spans="1:17" s="19" customFormat="1" x14ac:dyDescent="0.25">
      <c r="A419" s="10"/>
      <c r="B419" s="10"/>
      <c r="C419" s="10"/>
      <c r="D419" s="22" t="s">
        <v>209</v>
      </c>
      <c r="E419" s="22">
        <f>-SUM(E409:E418)</f>
        <v>600</v>
      </c>
      <c r="F419" s="10"/>
      <c r="G419"/>
      <c r="H419"/>
      <c r="I419"/>
      <c r="J419"/>
      <c r="K419"/>
      <c r="L419"/>
      <c r="M419"/>
      <c r="N419"/>
      <c r="O419"/>
      <c r="P419"/>
      <c r="Q419"/>
    </row>
    <row r="420" spans="1:17" s="19" customFormat="1" x14ac:dyDescent="0.25">
      <c r="D420"/>
      <c r="E420">
        <f>SUM(E409:E419)</f>
        <v>0</v>
      </c>
      <c r="F420" s="19">
        <f>SUM(F409:F418)</f>
        <v>550</v>
      </c>
      <c r="G420"/>
      <c r="H420"/>
      <c r="I420"/>
      <c r="J420"/>
      <c r="K420"/>
      <c r="L420"/>
      <c r="M420"/>
      <c r="N420"/>
      <c r="O420"/>
      <c r="P420"/>
      <c r="Q420"/>
    </row>
    <row r="421" spans="1:17" s="19" customFormat="1" ht="18.75" x14ac:dyDescent="0.3">
      <c r="A421" s="5" t="s">
        <v>251</v>
      </c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</row>
    <row r="422" spans="1:17" s="19" customFormat="1" x14ac:dyDescent="0.25">
      <c r="A422" s="7" t="s">
        <v>36</v>
      </c>
      <c r="B422" s="8" t="s">
        <v>37</v>
      </c>
      <c r="C422" s="8" t="s">
        <v>179</v>
      </c>
      <c r="D422" s="8"/>
      <c r="E422" s="8"/>
      <c r="F422" s="8">
        <v>2</v>
      </c>
      <c r="G422"/>
      <c r="H422"/>
      <c r="I422"/>
      <c r="J422"/>
      <c r="K422"/>
      <c r="L422"/>
      <c r="M422"/>
      <c r="N422"/>
      <c r="O422"/>
      <c r="P422"/>
      <c r="Q422"/>
    </row>
    <row r="423" spans="1:17" s="19" customFormat="1" x14ac:dyDescent="0.25">
      <c r="A423" s="7"/>
      <c r="B423" s="8"/>
      <c r="C423" s="8" t="s">
        <v>180</v>
      </c>
      <c r="D423" s="8"/>
      <c r="E423" s="8"/>
      <c r="F423" s="8">
        <v>2</v>
      </c>
      <c r="G423"/>
      <c r="H423"/>
      <c r="I423"/>
      <c r="J423"/>
      <c r="K423"/>
      <c r="L423"/>
      <c r="M423"/>
      <c r="N423"/>
      <c r="O423"/>
      <c r="P423"/>
      <c r="Q423"/>
    </row>
    <row r="424" spans="1:17" s="19" customFormat="1" x14ac:dyDescent="0.25">
      <c r="A424" s="7"/>
      <c r="B424" s="8"/>
      <c r="C424" s="8" t="s">
        <v>181</v>
      </c>
      <c r="D424" s="8"/>
      <c r="E424" s="8"/>
      <c r="F424" s="8">
        <v>2</v>
      </c>
      <c r="G424"/>
      <c r="H424"/>
      <c r="I424"/>
      <c r="J424"/>
      <c r="K424"/>
      <c r="L424"/>
      <c r="M424"/>
      <c r="N424"/>
      <c r="O424"/>
      <c r="P424"/>
      <c r="Q424"/>
    </row>
    <row r="425" spans="1:17" s="19" customFormat="1" x14ac:dyDescent="0.25">
      <c r="A425" s="7"/>
      <c r="B425" s="8"/>
      <c r="C425" s="8" t="s">
        <v>182</v>
      </c>
      <c r="D425" s="8"/>
      <c r="E425" s="8"/>
      <c r="F425" s="8">
        <v>2</v>
      </c>
      <c r="G425"/>
      <c r="H425"/>
      <c r="I425"/>
      <c r="J425"/>
      <c r="K425"/>
      <c r="L425"/>
      <c r="M425"/>
      <c r="N425"/>
      <c r="O425"/>
      <c r="P425"/>
      <c r="Q425"/>
    </row>
    <row r="426" spans="1:17" s="19" customFormat="1" x14ac:dyDescent="0.25">
      <c r="A426" s="7"/>
      <c r="B426" s="8"/>
      <c r="C426" s="8" t="s">
        <v>183</v>
      </c>
      <c r="D426" s="8"/>
      <c r="E426" s="8"/>
      <c r="F426" s="8">
        <v>2</v>
      </c>
      <c r="G426"/>
      <c r="H426"/>
      <c r="I426"/>
      <c r="J426"/>
      <c r="K426"/>
      <c r="L426"/>
      <c r="M426"/>
      <c r="N426"/>
      <c r="O426"/>
      <c r="P426"/>
      <c r="Q426"/>
    </row>
    <row r="427" spans="1:17" s="19" customFormat="1" x14ac:dyDescent="0.25">
      <c r="A427" s="8"/>
      <c r="B427" s="8" t="s">
        <v>12</v>
      </c>
      <c r="C427" s="8"/>
      <c r="D427" s="8"/>
      <c r="E427" s="8"/>
      <c r="F427" s="8">
        <v>5</v>
      </c>
      <c r="G427"/>
      <c r="H427"/>
      <c r="I427"/>
      <c r="J427"/>
      <c r="K427"/>
      <c r="L427"/>
      <c r="M427"/>
      <c r="N427"/>
      <c r="O427"/>
      <c r="P427"/>
      <c r="Q427"/>
    </row>
    <row r="428" spans="1:17" s="19" customFormat="1" x14ac:dyDescent="0.25">
      <c r="A428" s="8"/>
      <c r="B428" s="8" t="s">
        <v>39</v>
      </c>
      <c r="C428" s="8"/>
      <c r="D428" s="8"/>
      <c r="E428" s="8"/>
      <c r="F428" s="8">
        <v>5</v>
      </c>
      <c r="G428"/>
      <c r="H428"/>
      <c r="I428"/>
      <c r="J428"/>
      <c r="K428"/>
      <c r="L428"/>
      <c r="M428"/>
      <c r="N428"/>
      <c r="O428"/>
      <c r="P428"/>
      <c r="Q428"/>
    </row>
    <row r="429" spans="1:17" x14ac:dyDescent="0.25">
      <c r="A429" s="8"/>
      <c r="B429" s="8" t="s">
        <v>68</v>
      </c>
      <c r="C429" s="8"/>
      <c r="D429" s="8"/>
      <c r="E429" s="8"/>
      <c r="F429" s="8">
        <v>5</v>
      </c>
    </row>
    <row r="430" spans="1:17" x14ac:dyDescent="0.25">
      <c r="A430" s="8"/>
      <c r="B430" s="8" t="s">
        <v>86</v>
      </c>
      <c r="C430" s="8"/>
      <c r="D430" s="8"/>
      <c r="E430" s="8"/>
      <c r="F430" s="8">
        <v>5</v>
      </c>
    </row>
    <row r="431" spans="1:17" x14ac:dyDescent="0.25">
      <c r="A431" s="8"/>
      <c r="B431" s="8"/>
      <c r="C431" s="8"/>
      <c r="D431" s="22" t="s">
        <v>209</v>
      </c>
      <c r="E431" s="22">
        <f>-SUM(E422:E430)</f>
        <v>0</v>
      </c>
      <c r="F431" s="8"/>
    </row>
    <row r="432" spans="1:17" x14ac:dyDescent="0.25">
      <c r="E432">
        <f>SUM(E422:E431)</f>
        <v>0</v>
      </c>
      <c r="F432">
        <f>SUM(F422:F430)</f>
        <v>30</v>
      </c>
      <c r="K432" s="19"/>
      <c r="L432" s="19"/>
    </row>
    <row r="433" spans="1:17" x14ac:dyDescent="0.25">
      <c r="A433" s="8" t="s">
        <v>123</v>
      </c>
      <c r="B433" s="8" t="s">
        <v>124</v>
      </c>
      <c r="C433" s="8"/>
      <c r="D433" s="8"/>
      <c r="E433" s="8"/>
      <c r="F433" s="8">
        <v>3</v>
      </c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</row>
    <row r="434" spans="1:17" x14ac:dyDescent="0.25">
      <c r="A434" s="8"/>
      <c r="B434" s="8" t="s">
        <v>125</v>
      </c>
      <c r="C434" s="8"/>
      <c r="D434" s="8"/>
      <c r="E434" s="8"/>
      <c r="F434" s="8">
        <v>4</v>
      </c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</row>
    <row r="435" spans="1:17" x14ac:dyDescent="0.25">
      <c r="A435" s="8"/>
      <c r="B435" s="8" t="s">
        <v>126</v>
      </c>
      <c r="C435" s="8"/>
      <c r="D435" s="8"/>
      <c r="E435" s="8"/>
      <c r="F435" s="8">
        <v>4</v>
      </c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</row>
    <row r="436" spans="1:17" s="19" customFormat="1" x14ac:dyDescent="0.25">
      <c r="A436" s="8"/>
      <c r="B436" s="8" t="s">
        <v>127</v>
      </c>
      <c r="C436" s="8"/>
      <c r="D436" s="8"/>
      <c r="E436" s="8"/>
      <c r="F436" s="8">
        <v>4</v>
      </c>
    </row>
    <row r="437" spans="1:17" s="19" customFormat="1" x14ac:dyDescent="0.25">
      <c r="A437" s="8"/>
      <c r="B437" s="8" t="s">
        <v>128</v>
      </c>
      <c r="C437" s="8"/>
      <c r="D437" s="8"/>
      <c r="E437" s="8"/>
      <c r="F437" s="8">
        <v>4</v>
      </c>
    </row>
    <row r="438" spans="1:17" s="19" customFormat="1" x14ac:dyDescent="0.25">
      <c r="A438" s="8"/>
      <c r="B438" s="8" t="s">
        <v>231</v>
      </c>
      <c r="C438" s="8"/>
      <c r="D438" s="8"/>
      <c r="E438" s="8"/>
      <c r="F438" s="8">
        <v>4</v>
      </c>
    </row>
    <row r="439" spans="1:17" s="19" customFormat="1" x14ac:dyDescent="0.25">
      <c r="A439" s="8"/>
      <c r="B439" s="8" t="s">
        <v>129</v>
      </c>
      <c r="C439" s="8"/>
      <c r="D439" s="8"/>
      <c r="E439" s="8"/>
      <c r="F439" s="8">
        <v>4</v>
      </c>
    </row>
    <row r="440" spans="1:17" s="19" customFormat="1" x14ac:dyDescent="0.25">
      <c r="A440" s="8"/>
      <c r="B440" s="8" t="s">
        <v>232</v>
      </c>
      <c r="C440" s="8"/>
      <c r="D440" s="8"/>
      <c r="E440" s="8"/>
      <c r="F440" s="8">
        <v>4</v>
      </c>
    </row>
    <row r="441" spans="1:17" s="19" customFormat="1" x14ac:dyDescent="0.25">
      <c r="A441" s="8"/>
      <c r="B441" s="8" t="s">
        <v>130</v>
      </c>
      <c r="C441" s="8"/>
      <c r="D441" s="8"/>
      <c r="E441" s="8"/>
      <c r="F441" s="8">
        <v>4</v>
      </c>
    </row>
    <row r="442" spans="1:17" s="19" customFormat="1" x14ac:dyDescent="0.25">
      <c r="A442" s="8"/>
      <c r="B442" s="8"/>
      <c r="C442" s="8"/>
      <c r="D442" s="22" t="s">
        <v>209</v>
      </c>
      <c r="E442" s="22">
        <f>-SUM(E433:E441)</f>
        <v>0</v>
      </c>
      <c r="F442" s="8"/>
    </row>
    <row r="443" spans="1:17" s="19" customFormat="1" x14ac:dyDescent="0.25">
      <c r="A443"/>
      <c r="B443"/>
      <c r="C443"/>
      <c r="D443"/>
      <c r="E443">
        <f>SUM(E433:E442)</f>
        <v>0</v>
      </c>
      <c r="F443">
        <f>SUM(F433:F441)</f>
        <v>35</v>
      </c>
      <c r="G443"/>
      <c r="H443"/>
      <c r="I443"/>
      <c r="J443"/>
      <c r="K443"/>
      <c r="L443"/>
      <c r="M443"/>
      <c r="N443"/>
      <c r="O443"/>
      <c r="P443"/>
      <c r="Q443"/>
    </row>
    <row r="444" spans="1:17" s="19" customFormat="1" x14ac:dyDescent="0.25">
      <c r="A444" s="8" t="s">
        <v>131</v>
      </c>
      <c r="B444" s="8" t="s">
        <v>132</v>
      </c>
      <c r="C444" s="8"/>
      <c r="D444" s="8"/>
      <c r="E444" s="8"/>
      <c r="F444" s="8">
        <v>3</v>
      </c>
      <c r="G444"/>
      <c r="H444"/>
      <c r="I444"/>
      <c r="J444"/>
      <c r="K444"/>
      <c r="L444"/>
      <c r="M444"/>
      <c r="N444"/>
      <c r="O444"/>
      <c r="P444"/>
      <c r="Q444"/>
    </row>
    <row r="445" spans="1:17" s="19" customFormat="1" x14ac:dyDescent="0.25">
      <c r="A445" s="8"/>
      <c r="B445" s="8" t="s">
        <v>133</v>
      </c>
      <c r="C445" s="8"/>
      <c r="D445" s="8"/>
      <c r="E445" s="8"/>
      <c r="F445" s="8">
        <v>5</v>
      </c>
      <c r="G445"/>
      <c r="H445"/>
      <c r="I445"/>
      <c r="J445"/>
      <c r="K445"/>
      <c r="L445"/>
      <c r="M445"/>
      <c r="N445"/>
      <c r="O445"/>
      <c r="P445"/>
      <c r="Q445"/>
    </row>
    <row r="446" spans="1:17" s="19" customFormat="1" x14ac:dyDescent="0.25">
      <c r="A446" s="8"/>
      <c r="B446" s="8" t="s">
        <v>7</v>
      </c>
      <c r="C446" s="8"/>
      <c r="D446" s="8"/>
      <c r="E446" s="8"/>
      <c r="F446" s="8">
        <v>3</v>
      </c>
      <c r="G446"/>
      <c r="H446"/>
      <c r="I446"/>
      <c r="J446"/>
      <c r="K446"/>
      <c r="L446"/>
      <c r="M446"/>
      <c r="N446"/>
      <c r="O446"/>
      <c r="P446"/>
      <c r="Q446"/>
    </row>
    <row r="447" spans="1:17" s="19" customFormat="1" x14ac:dyDescent="0.25">
      <c r="A447" s="8"/>
      <c r="B447" s="8" t="s">
        <v>134</v>
      </c>
      <c r="C447" s="8"/>
      <c r="D447" s="8"/>
      <c r="E447" s="8"/>
      <c r="F447" s="8">
        <v>3</v>
      </c>
      <c r="G447"/>
      <c r="H447"/>
      <c r="I447"/>
      <c r="J447"/>
      <c r="K447"/>
      <c r="L447"/>
      <c r="M447"/>
      <c r="N447"/>
      <c r="O447"/>
      <c r="P447"/>
      <c r="Q447"/>
    </row>
    <row r="448" spans="1:17" s="19" customFormat="1" x14ac:dyDescent="0.25">
      <c r="A448" s="8"/>
      <c r="B448" s="8" t="s">
        <v>135</v>
      </c>
      <c r="C448" s="8"/>
      <c r="D448" s="8"/>
      <c r="E448" s="8"/>
      <c r="F448" s="8">
        <v>3</v>
      </c>
      <c r="G448"/>
      <c r="H448"/>
      <c r="I448"/>
      <c r="J448"/>
      <c r="K448"/>
      <c r="L448"/>
      <c r="M448"/>
      <c r="N448"/>
      <c r="O448"/>
      <c r="P448"/>
      <c r="Q448"/>
    </row>
    <row r="449" spans="1:17" s="19" customFormat="1" x14ac:dyDescent="0.25">
      <c r="A449" s="8"/>
      <c r="B449" s="8" t="s">
        <v>136</v>
      </c>
      <c r="C449" s="8"/>
      <c r="D449" s="8"/>
      <c r="E449" s="8"/>
      <c r="F449" s="8">
        <v>3</v>
      </c>
      <c r="G449"/>
      <c r="H449"/>
      <c r="I449"/>
      <c r="J449"/>
      <c r="M449"/>
      <c r="N449"/>
      <c r="O449"/>
      <c r="P449"/>
      <c r="Q449"/>
    </row>
    <row r="450" spans="1:17" s="19" customFormat="1" x14ac:dyDescent="0.25">
      <c r="A450" s="8"/>
      <c r="B450" s="8" t="s">
        <v>137</v>
      </c>
      <c r="C450" s="8"/>
      <c r="D450" s="8"/>
      <c r="E450" s="8"/>
      <c r="F450" s="8">
        <v>3</v>
      </c>
    </row>
    <row r="451" spans="1:17" s="19" customFormat="1" x14ac:dyDescent="0.25">
      <c r="A451" s="8"/>
      <c r="B451" s="8"/>
      <c r="C451" s="8"/>
      <c r="D451" s="22" t="s">
        <v>209</v>
      </c>
      <c r="E451" s="22">
        <f>-SUM(E444:E450)</f>
        <v>0</v>
      </c>
      <c r="F451" s="8"/>
    </row>
    <row r="452" spans="1:17" s="19" customFormat="1" x14ac:dyDescent="0.25">
      <c r="A452"/>
      <c r="B452"/>
      <c r="C452"/>
      <c r="D452"/>
      <c r="E452">
        <f>SUM(E444:E451)</f>
        <v>0</v>
      </c>
      <c r="F452">
        <f>SUM(F444:F450)</f>
        <v>23</v>
      </c>
    </row>
    <row r="453" spans="1:17" s="19" customFormat="1" x14ac:dyDescent="0.25">
      <c r="A453" s="7" t="s">
        <v>315</v>
      </c>
      <c r="B453" s="7"/>
      <c r="C453" s="8" t="s">
        <v>142</v>
      </c>
      <c r="D453" s="8" t="s">
        <v>143</v>
      </c>
      <c r="E453" s="8"/>
      <c r="F453" s="8">
        <v>5</v>
      </c>
    </row>
    <row r="454" spans="1:17" s="19" customFormat="1" x14ac:dyDescent="0.25">
      <c r="A454" s="7"/>
      <c r="B454" s="7"/>
      <c r="C454" s="8"/>
      <c r="D454" s="8" t="s">
        <v>144</v>
      </c>
      <c r="E454" s="8"/>
      <c r="F454" s="8">
        <v>5</v>
      </c>
    </row>
    <row r="455" spans="1:17" s="19" customFormat="1" x14ac:dyDescent="0.25">
      <c r="A455" s="7"/>
      <c r="B455" s="7"/>
      <c r="C455" s="8"/>
      <c r="D455" s="8" t="s">
        <v>145</v>
      </c>
      <c r="E455" s="8"/>
      <c r="F455" s="8">
        <v>5</v>
      </c>
    </row>
    <row r="456" spans="1:17" s="19" customFormat="1" x14ac:dyDescent="0.25">
      <c r="A456" s="7"/>
      <c r="B456" s="7"/>
      <c r="C456" s="8" t="s">
        <v>146</v>
      </c>
      <c r="D456" s="8" t="s">
        <v>147</v>
      </c>
      <c r="E456" s="8"/>
      <c r="F456" s="8">
        <v>5</v>
      </c>
    </row>
    <row r="457" spans="1:17" s="19" customFormat="1" x14ac:dyDescent="0.25">
      <c r="A457" s="7"/>
      <c r="B457" s="7"/>
      <c r="C457" s="8"/>
      <c r="D457" s="8" t="s">
        <v>148</v>
      </c>
      <c r="E457" s="8"/>
      <c r="F457" s="8">
        <v>5</v>
      </c>
    </row>
    <row r="458" spans="1:17" s="19" customFormat="1" x14ac:dyDescent="0.25">
      <c r="A458" s="7"/>
      <c r="B458" s="7"/>
      <c r="C458" s="8"/>
      <c r="D458" s="8" t="s">
        <v>149</v>
      </c>
      <c r="E458" s="8"/>
      <c r="F458" s="8">
        <v>5</v>
      </c>
    </row>
    <row r="459" spans="1:17" s="19" customFormat="1" x14ac:dyDescent="0.25">
      <c r="A459" s="7"/>
      <c r="B459" s="7"/>
      <c r="C459" s="8"/>
      <c r="D459" s="8" t="s">
        <v>150</v>
      </c>
      <c r="E459" s="8"/>
      <c r="F459" s="8">
        <v>5</v>
      </c>
    </row>
    <row r="460" spans="1:17" s="19" customFormat="1" x14ac:dyDescent="0.25">
      <c r="A460" s="7"/>
      <c r="B460" s="7"/>
      <c r="C460" s="8"/>
      <c r="D460" s="8" t="s">
        <v>151</v>
      </c>
      <c r="E460" s="8"/>
      <c r="F460" s="8">
        <v>5</v>
      </c>
    </row>
    <row r="461" spans="1:17" s="19" customFormat="1" x14ac:dyDescent="0.25">
      <c r="A461"/>
      <c r="B461"/>
      <c r="C461"/>
      <c r="D461"/>
      <c r="E461">
        <f>SUM(E453:E460)</f>
        <v>0</v>
      </c>
      <c r="F461">
        <f>SUM(F453:F460)</f>
        <v>40</v>
      </c>
    </row>
    <row r="462" spans="1:17" s="19" customFormat="1" ht="18.75" x14ac:dyDescent="0.3">
      <c r="A462" s="5" t="s">
        <v>323</v>
      </c>
      <c r="B462"/>
      <c r="C462"/>
      <c r="D462"/>
      <c r="E462"/>
      <c r="F462"/>
    </row>
    <row r="463" spans="1:17" s="19" customFormat="1" x14ac:dyDescent="0.25">
      <c r="A463" s="7" t="s">
        <v>238</v>
      </c>
      <c r="B463" s="7" t="s">
        <v>251</v>
      </c>
      <c r="C463" s="8" t="s">
        <v>285</v>
      </c>
      <c r="D463" s="8"/>
      <c r="E463" s="8"/>
      <c r="F463" s="8">
        <v>10</v>
      </c>
    </row>
    <row r="464" spans="1:17" s="19" customFormat="1" x14ac:dyDescent="0.25">
      <c r="A464" s="7"/>
      <c r="B464" s="8"/>
      <c r="C464" s="8" t="s">
        <v>324</v>
      </c>
      <c r="D464" s="8"/>
      <c r="E464" s="8"/>
      <c r="F464" s="8">
        <v>10</v>
      </c>
    </row>
    <row r="465" spans="1:17" s="19" customFormat="1" x14ac:dyDescent="0.25">
      <c r="A465" s="8"/>
      <c r="B465" s="7" t="s">
        <v>239</v>
      </c>
      <c r="C465" s="8" t="s">
        <v>126</v>
      </c>
      <c r="D465" s="8"/>
      <c r="E465" s="8"/>
      <c r="F465" s="8">
        <v>5</v>
      </c>
    </row>
    <row r="466" spans="1:17" s="19" customFormat="1" x14ac:dyDescent="0.25">
      <c r="A466" s="8"/>
      <c r="B466" s="8"/>
      <c r="C466" s="8" t="s">
        <v>325</v>
      </c>
      <c r="D466" s="8"/>
      <c r="E466" s="8"/>
      <c r="F466" s="8">
        <v>5</v>
      </c>
    </row>
    <row r="467" spans="1:17" s="19" customFormat="1" x14ac:dyDescent="0.25">
      <c r="A467" s="8"/>
      <c r="B467" s="8"/>
      <c r="C467" s="8" t="s">
        <v>109</v>
      </c>
      <c r="D467" s="8"/>
      <c r="E467" s="8"/>
      <c r="F467" s="8">
        <v>5</v>
      </c>
    </row>
    <row r="468" spans="1:17" s="19" customFormat="1" x14ac:dyDescent="0.25">
      <c r="A468" s="8"/>
      <c r="B468" s="8"/>
      <c r="C468" s="8" t="s">
        <v>326</v>
      </c>
      <c r="D468" s="8"/>
      <c r="E468" s="8"/>
      <c r="F468" s="8">
        <v>5</v>
      </c>
    </row>
    <row r="469" spans="1:17" s="19" customFormat="1" x14ac:dyDescent="0.25">
      <c r="A469" s="8"/>
      <c r="B469" s="8"/>
      <c r="C469" s="8" t="s">
        <v>327</v>
      </c>
      <c r="D469" s="8"/>
      <c r="E469" s="8"/>
      <c r="F469" s="8">
        <v>5</v>
      </c>
    </row>
    <row r="470" spans="1:17" s="19" customFormat="1" x14ac:dyDescent="0.25">
      <c r="A470" s="8"/>
      <c r="B470" s="8"/>
      <c r="C470" s="8"/>
      <c r="D470" s="22" t="s">
        <v>209</v>
      </c>
      <c r="E470" s="22">
        <f>-SUM(E467:E469)</f>
        <v>0</v>
      </c>
    </row>
    <row r="471" spans="1:17" s="19" customFormat="1" x14ac:dyDescent="0.25">
      <c r="E471">
        <f>SUM(E463:E470)</f>
        <v>0</v>
      </c>
      <c r="F471" s="19">
        <f>SUM(F463:F470)</f>
        <v>45</v>
      </c>
    </row>
    <row r="472" spans="1:17" s="19" customFormat="1" x14ac:dyDescent="0.25">
      <c r="A472" s="20" t="s">
        <v>332</v>
      </c>
      <c r="E472"/>
    </row>
    <row r="473" spans="1:17" s="19" customFormat="1" x14ac:dyDescent="0.25">
      <c r="A473" s="14" t="s">
        <v>333</v>
      </c>
      <c r="B473" s="12" t="s">
        <v>334</v>
      </c>
      <c r="C473" s="12"/>
      <c r="D473" s="12"/>
      <c r="E473" s="12">
        <v>0</v>
      </c>
      <c r="F473" s="12">
        <v>10</v>
      </c>
    </row>
    <row r="474" spans="1:17" s="19" customFormat="1" x14ac:dyDescent="0.25">
      <c r="A474" s="14" t="s">
        <v>335</v>
      </c>
      <c r="B474" s="12" t="s">
        <v>336</v>
      </c>
      <c r="C474" s="12" t="s">
        <v>46</v>
      </c>
      <c r="D474" s="12"/>
      <c r="E474" s="12">
        <v>0</v>
      </c>
      <c r="F474" s="12">
        <v>10</v>
      </c>
    </row>
    <row r="475" spans="1:17" s="19" customFormat="1" x14ac:dyDescent="0.25">
      <c r="A475" s="14"/>
      <c r="B475" s="12"/>
      <c r="C475" s="12" t="s">
        <v>337</v>
      </c>
      <c r="D475" s="12"/>
      <c r="E475" s="12">
        <v>0</v>
      </c>
      <c r="F475" s="12">
        <v>10</v>
      </c>
    </row>
    <row r="476" spans="1:17" s="19" customFormat="1" x14ac:dyDescent="0.25">
      <c r="A476" s="20"/>
      <c r="D476" s="22" t="s">
        <v>209</v>
      </c>
      <c r="E476" s="22">
        <f>-SUM(E468:E475)</f>
        <v>0</v>
      </c>
    </row>
    <row r="477" spans="1:17" s="19" customFormat="1" x14ac:dyDescent="0.25">
      <c r="A477"/>
      <c r="B477"/>
      <c r="C477"/>
      <c r="D477"/>
      <c r="E477">
        <f>SUM(E473:E476)</f>
        <v>0</v>
      </c>
      <c r="F477">
        <f>SUM(F473:F476)</f>
        <v>30</v>
      </c>
    </row>
    <row r="478" spans="1:17" x14ac:dyDescent="0.25"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</row>
    <row r="479" spans="1:17" ht="18.75" x14ac:dyDescent="0.3">
      <c r="A479" s="5" t="s">
        <v>250</v>
      </c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</row>
    <row r="480" spans="1:17" x14ac:dyDescent="0.25">
      <c r="A480" s="14" t="s">
        <v>238</v>
      </c>
      <c r="B480" s="12" t="s">
        <v>239</v>
      </c>
      <c r="C480" s="12"/>
      <c r="D480" s="12"/>
      <c r="E480" s="12"/>
      <c r="F480" s="12">
        <v>10</v>
      </c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</row>
    <row r="481" spans="1:17" x14ac:dyDescent="0.25">
      <c r="A481" s="14" t="s">
        <v>243</v>
      </c>
      <c r="B481" s="12" t="s">
        <v>103</v>
      </c>
      <c r="C481" s="12"/>
      <c r="D481" s="12"/>
      <c r="E481" s="12"/>
      <c r="F481" s="12">
        <v>5</v>
      </c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</row>
    <row r="482" spans="1:17" x14ac:dyDescent="0.25">
      <c r="A482" s="12"/>
      <c r="B482" s="12" t="s">
        <v>241</v>
      </c>
      <c r="C482" s="12"/>
      <c r="D482" s="12"/>
      <c r="E482" s="12"/>
      <c r="F482" s="12">
        <v>5</v>
      </c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</row>
    <row r="483" spans="1:17" x14ac:dyDescent="0.25">
      <c r="A483" s="12"/>
      <c r="B483" s="12" t="s">
        <v>240</v>
      </c>
      <c r="C483" s="12"/>
      <c r="D483" s="12"/>
      <c r="E483" s="12"/>
      <c r="F483" s="12">
        <v>5</v>
      </c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</row>
    <row r="484" spans="1:17" x14ac:dyDescent="0.25">
      <c r="A484" s="12"/>
      <c r="B484" s="12" t="s">
        <v>242</v>
      </c>
      <c r="C484" s="12"/>
      <c r="D484" s="12"/>
      <c r="E484" s="12"/>
      <c r="F484" s="12">
        <v>5</v>
      </c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</row>
    <row r="485" spans="1:17" x14ac:dyDescent="0.25">
      <c r="A485" s="12"/>
      <c r="B485" s="12" t="s">
        <v>244</v>
      </c>
      <c r="C485" s="12"/>
      <c r="D485" s="12"/>
      <c r="E485" s="12"/>
      <c r="F485" s="12">
        <v>5</v>
      </c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</row>
    <row r="486" spans="1:17" x14ac:dyDescent="0.25">
      <c r="A486" s="12"/>
      <c r="B486" s="12" t="s">
        <v>245</v>
      </c>
      <c r="C486" s="12"/>
      <c r="D486" s="12"/>
      <c r="E486" s="12"/>
      <c r="F486" s="12">
        <v>5</v>
      </c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</row>
    <row r="487" spans="1:17" x14ac:dyDescent="0.25">
      <c r="A487" s="12"/>
      <c r="B487" s="12" t="s">
        <v>25</v>
      </c>
      <c r="C487" s="12"/>
      <c r="D487" s="12"/>
      <c r="E487" s="12"/>
      <c r="F487" s="12">
        <v>5</v>
      </c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</row>
    <row r="488" spans="1:17" x14ac:dyDescent="0.25">
      <c r="A488" s="12"/>
      <c r="B488" s="12" t="s">
        <v>26</v>
      </c>
      <c r="C488" s="12"/>
      <c r="D488" s="12"/>
      <c r="E488" s="12"/>
      <c r="F488" s="12">
        <v>5</v>
      </c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</row>
    <row r="489" spans="1:17" x14ac:dyDescent="0.25">
      <c r="A489" s="12"/>
      <c r="B489" s="12" t="s">
        <v>246</v>
      </c>
      <c r="C489" s="12"/>
      <c r="D489" s="12"/>
      <c r="E489" s="12"/>
      <c r="F489" s="12">
        <v>5</v>
      </c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</row>
    <row r="490" spans="1:17" x14ac:dyDescent="0.25">
      <c r="A490" s="12"/>
      <c r="B490" s="12" t="s">
        <v>247</v>
      </c>
      <c r="C490" s="12"/>
      <c r="D490" s="12"/>
      <c r="E490" s="12"/>
      <c r="F490" s="12">
        <v>5</v>
      </c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</row>
    <row r="491" spans="1:17" x14ac:dyDescent="0.25">
      <c r="A491" s="12"/>
      <c r="B491" s="12"/>
      <c r="C491" s="12"/>
      <c r="D491" s="22" t="s">
        <v>209</v>
      </c>
      <c r="E491" s="22">
        <f>-SUM(E484:E490)</f>
        <v>0</v>
      </c>
      <c r="F491" s="19"/>
      <c r="G491" s="19"/>
      <c r="H491" s="19"/>
      <c r="I491" s="19"/>
      <c r="J491" s="19"/>
      <c r="M491" s="19"/>
      <c r="N491" s="19"/>
      <c r="O491" s="19"/>
      <c r="P491" s="19"/>
      <c r="Q491" s="19"/>
    </row>
    <row r="492" spans="1:17" x14ac:dyDescent="0.25">
      <c r="A492" s="19"/>
      <c r="B492" s="19"/>
      <c r="C492" s="19"/>
      <c r="D492" s="19"/>
      <c r="E492">
        <f>SUM(E480:E491)</f>
        <v>0</v>
      </c>
      <c r="F492" s="19">
        <f>SUM(F480:F491)</f>
        <v>60</v>
      </c>
    </row>
    <row r="493" spans="1:17" x14ac:dyDescent="0.25">
      <c r="A493" s="19"/>
      <c r="B493" s="19"/>
      <c r="C493" s="19"/>
      <c r="D493" s="19"/>
      <c r="E493" s="19"/>
      <c r="F493" s="19"/>
    </row>
    <row r="494" spans="1:17" x14ac:dyDescent="0.25">
      <c r="A494" s="9" t="s">
        <v>238</v>
      </c>
      <c r="B494" s="10" t="s">
        <v>239</v>
      </c>
      <c r="C494" s="10"/>
      <c r="D494" s="10"/>
      <c r="E494" s="10"/>
      <c r="F494" s="10">
        <v>10</v>
      </c>
      <c r="H494" s="18"/>
    </row>
    <row r="495" spans="1:17" x14ac:dyDescent="0.25">
      <c r="A495" s="9" t="s">
        <v>243</v>
      </c>
      <c r="B495" s="10" t="s">
        <v>103</v>
      </c>
      <c r="C495" s="10"/>
      <c r="D495" s="10"/>
      <c r="E495" s="10"/>
      <c r="F495" s="10">
        <v>5</v>
      </c>
      <c r="H495" s="18"/>
    </row>
    <row r="496" spans="1:17" x14ac:dyDescent="0.25">
      <c r="A496" s="10"/>
      <c r="B496" s="10" t="s">
        <v>241</v>
      </c>
      <c r="C496" s="10"/>
      <c r="D496" s="10"/>
      <c r="E496" s="10"/>
      <c r="F496" s="10">
        <v>5</v>
      </c>
      <c r="H496" s="18"/>
    </row>
    <row r="497" spans="1:8" x14ac:dyDescent="0.25">
      <c r="A497" s="10"/>
      <c r="B497" s="10" t="s">
        <v>240</v>
      </c>
      <c r="C497" s="10"/>
      <c r="D497" s="10"/>
      <c r="E497" s="10"/>
      <c r="F497" s="10">
        <v>5</v>
      </c>
      <c r="H497" s="18"/>
    </row>
    <row r="498" spans="1:8" x14ac:dyDescent="0.25">
      <c r="A498" s="10"/>
      <c r="B498" s="10" t="s">
        <v>242</v>
      </c>
      <c r="C498" s="10"/>
      <c r="D498" s="10"/>
      <c r="E498" s="10"/>
      <c r="F498" s="10">
        <v>5</v>
      </c>
    </row>
    <row r="499" spans="1:8" x14ac:dyDescent="0.25">
      <c r="A499" s="10"/>
      <c r="B499" s="10" t="s">
        <v>244</v>
      </c>
      <c r="C499" s="10"/>
      <c r="D499" s="10"/>
      <c r="E499" s="10"/>
      <c r="F499" s="10">
        <v>5</v>
      </c>
    </row>
    <row r="500" spans="1:8" x14ac:dyDescent="0.25">
      <c r="A500" s="10"/>
      <c r="B500" s="10" t="s">
        <v>245</v>
      </c>
      <c r="C500" s="10"/>
      <c r="D500" s="10"/>
      <c r="E500" s="10"/>
      <c r="F500" s="10">
        <v>5</v>
      </c>
    </row>
    <row r="501" spans="1:8" x14ac:dyDescent="0.25">
      <c r="A501" s="10"/>
      <c r="B501" s="10" t="s">
        <v>25</v>
      </c>
      <c r="C501" s="10"/>
      <c r="D501" s="10"/>
      <c r="E501" s="10"/>
      <c r="F501" s="10">
        <v>5</v>
      </c>
    </row>
    <row r="502" spans="1:8" x14ac:dyDescent="0.25">
      <c r="A502" s="10"/>
      <c r="B502" s="10" t="s">
        <v>26</v>
      </c>
      <c r="C502" s="10"/>
      <c r="D502" s="10"/>
      <c r="E502" s="10"/>
      <c r="F502" s="10">
        <v>5</v>
      </c>
    </row>
    <row r="503" spans="1:8" x14ac:dyDescent="0.25">
      <c r="A503" s="10"/>
      <c r="B503" s="10" t="s">
        <v>246</v>
      </c>
      <c r="C503" s="10"/>
      <c r="D503" s="10"/>
      <c r="E503" s="10"/>
      <c r="F503" s="10">
        <v>5</v>
      </c>
    </row>
    <row r="504" spans="1:8" x14ac:dyDescent="0.25">
      <c r="A504" s="10"/>
      <c r="B504" s="10" t="s">
        <v>247</v>
      </c>
      <c r="C504" s="10"/>
      <c r="D504" s="10"/>
      <c r="E504" s="10"/>
      <c r="F504" s="10">
        <v>5</v>
      </c>
    </row>
    <row r="505" spans="1:8" x14ac:dyDescent="0.25">
      <c r="A505" s="10"/>
      <c r="B505" s="10"/>
      <c r="C505" s="10"/>
      <c r="D505" s="22" t="s">
        <v>209</v>
      </c>
      <c r="E505" s="22">
        <f>-SUM(E498:E504)</f>
        <v>0</v>
      </c>
      <c r="F505" s="19"/>
    </row>
    <row r="506" spans="1:8" x14ac:dyDescent="0.25">
      <c r="A506" s="19"/>
      <c r="B506" s="19"/>
      <c r="C506" s="19"/>
      <c r="D506" s="19"/>
      <c r="E506">
        <f>SUM(E494:E505)</f>
        <v>0</v>
      </c>
      <c r="F506" s="19">
        <f>SUM(F494:F505)</f>
        <v>60</v>
      </c>
    </row>
    <row r="507" spans="1:8" x14ac:dyDescent="0.25">
      <c r="A507" s="19"/>
      <c r="B507" s="19"/>
      <c r="C507" s="19"/>
      <c r="D507" s="19"/>
      <c r="E507" s="19"/>
      <c r="F507" s="19"/>
    </row>
    <row r="508" spans="1:8" x14ac:dyDescent="0.25">
      <c r="A508" s="13" t="s">
        <v>238</v>
      </c>
      <c r="B508" s="11" t="s">
        <v>239</v>
      </c>
      <c r="C508" s="11"/>
      <c r="D508" s="11"/>
      <c r="E508" s="11"/>
      <c r="F508" s="11">
        <v>10</v>
      </c>
    </row>
    <row r="509" spans="1:8" x14ac:dyDescent="0.25">
      <c r="A509" s="13" t="s">
        <v>243</v>
      </c>
      <c r="B509" s="11" t="s">
        <v>103</v>
      </c>
      <c r="C509" s="11"/>
      <c r="D509" s="11"/>
      <c r="E509" s="11"/>
      <c r="F509" s="11">
        <v>5</v>
      </c>
    </row>
    <row r="510" spans="1:8" x14ac:dyDescent="0.25">
      <c r="A510" s="11"/>
      <c r="B510" s="11" t="s">
        <v>241</v>
      </c>
      <c r="C510" s="11"/>
      <c r="D510" s="11"/>
      <c r="E510" s="11"/>
      <c r="F510" s="11">
        <v>5</v>
      </c>
    </row>
    <row r="511" spans="1:8" x14ac:dyDescent="0.25">
      <c r="A511" s="11"/>
      <c r="B511" s="11" t="s">
        <v>240</v>
      </c>
      <c r="C511" s="11"/>
      <c r="D511" s="11"/>
      <c r="E511" s="11"/>
      <c r="F511" s="11">
        <v>5</v>
      </c>
    </row>
    <row r="512" spans="1:8" x14ac:dyDescent="0.25">
      <c r="A512" s="11"/>
      <c r="B512" s="11" t="s">
        <v>242</v>
      </c>
      <c r="C512" s="11"/>
      <c r="D512" s="11"/>
      <c r="E512" s="11"/>
      <c r="F512" s="11">
        <v>5</v>
      </c>
    </row>
    <row r="513" spans="1:8" x14ac:dyDescent="0.25">
      <c r="A513" s="11"/>
      <c r="B513" s="11" t="s">
        <v>244</v>
      </c>
      <c r="C513" s="11"/>
      <c r="D513" s="11"/>
      <c r="E513" s="11"/>
      <c r="F513" s="11">
        <v>5</v>
      </c>
    </row>
    <row r="514" spans="1:8" x14ac:dyDescent="0.25">
      <c r="A514" s="11"/>
      <c r="B514" s="11" t="s">
        <v>245</v>
      </c>
      <c r="C514" s="11"/>
      <c r="D514" s="11"/>
      <c r="E514" s="11"/>
      <c r="F514" s="11">
        <v>5</v>
      </c>
    </row>
    <row r="515" spans="1:8" x14ac:dyDescent="0.25">
      <c r="A515" s="11"/>
      <c r="B515" s="11" t="s">
        <v>25</v>
      </c>
      <c r="C515" s="11"/>
      <c r="D515" s="11"/>
      <c r="E515" s="11"/>
      <c r="F515" s="11">
        <v>5</v>
      </c>
    </row>
    <row r="516" spans="1:8" x14ac:dyDescent="0.25">
      <c r="A516" s="11"/>
      <c r="B516" s="11" t="s">
        <v>26</v>
      </c>
      <c r="C516" s="11"/>
      <c r="D516" s="11"/>
      <c r="E516" s="11"/>
      <c r="F516" s="11">
        <v>5</v>
      </c>
    </row>
    <row r="517" spans="1:8" x14ac:dyDescent="0.25">
      <c r="A517" s="11"/>
      <c r="B517" s="11" t="s">
        <v>246</v>
      </c>
      <c r="C517" s="11"/>
      <c r="D517" s="11"/>
      <c r="E517" s="11"/>
      <c r="F517" s="11">
        <v>5</v>
      </c>
    </row>
    <row r="518" spans="1:8" x14ac:dyDescent="0.25">
      <c r="A518" s="11"/>
      <c r="B518" s="11" t="s">
        <v>247</v>
      </c>
      <c r="C518" s="11"/>
      <c r="D518" s="11"/>
      <c r="E518" s="11"/>
      <c r="F518" s="11">
        <v>5</v>
      </c>
    </row>
    <row r="519" spans="1:8" x14ac:dyDescent="0.25">
      <c r="A519" s="11"/>
      <c r="B519" s="11"/>
      <c r="C519" s="11"/>
      <c r="D519" s="22" t="s">
        <v>209</v>
      </c>
      <c r="E519" s="22">
        <f>-SUM(E512:E518)</f>
        <v>0</v>
      </c>
      <c r="F519" s="11"/>
    </row>
    <row r="520" spans="1:8" x14ac:dyDescent="0.25">
      <c r="A520" s="19"/>
      <c r="B520" s="19"/>
      <c r="C520" s="19"/>
      <c r="D520" s="19"/>
      <c r="E520">
        <f>SUM(E508:E519)</f>
        <v>0</v>
      </c>
      <c r="F520" s="19">
        <f>SUM(F508:F519)</f>
        <v>60</v>
      </c>
    </row>
    <row r="521" spans="1:8" x14ac:dyDescent="0.25">
      <c r="A521" s="19"/>
      <c r="B521" s="19"/>
      <c r="C521" s="19"/>
      <c r="D521" s="19"/>
      <c r="E521" s="19"/>
      <c r="F521" s="19"/>
    </row>
    <row r="524" spans="1:8" x14ac:dyDescent="0.25">
      <c r="A524" s="7"/>
      <c r="B524" t="s">
        <v>184</v>
      </c>
      <c r="E524">
        <f>E452+E432+E407+E14</f>
        <v>0</v>
      </c>
      <c r="F524">
        <f>F211+F248+F266+F274+F407+F432+F443+F452+F461+F471</f>
        <v>450</v>
      </c>
      <c r="H524" s="18">
        <f>E524/F524</f>
        <v>0</v>
      </c>
    </row>
    <row r="525" spans="1:8" x14ac:dyDescent="0.25">
      <c r="A525" s="9"/>
      <c r="B525" t="s">
        <v>185</v>
      </c>
      <c r="E525">
        <f>E76+E30+E31+E109+E148+E174+E371+E196+E204+E239+E286+E420+E506+E321</f>
        <v>-200</v>
      </c>
      <c r="F525">
        <f>F76+F30+F31+F109+F148+F174+F371+F196+F204+F226+F239+F286+F420+F506+F321</f>
        <v>1110</v>
      </c>
      <c r="H525" s="18">
        <f>(E525+E524)/(F525+F524)</f>
        <v>-0.12820512820512819</v>
      </c>
    </row>
    <row r="526" spans="1:8" x14ac:dyDescent="0.25">
      <c r="A526" s="13"/>
      <c r="B526" t="s">
        <v>186</v>
      </c>
      <c r="E526">
        <f>E50+E28+E33+E87+E124+E159+E381+E186+E333+E343+E356+E520</f>
        <v>-200</v>
      </c>
      <c r="F526">
        <f>F50+F28+F33+F87+F124+F159+F381+F186+F219+F333+F343+F356+F520</f>
        <v>685</v>
      </c>
      <c r="H526" s="18">
        <f>(E526+E524)/(F526+F524)</f>
        <v>-0.1762114537444934</v>
      </c>
    </row>
    <row r="527" spans="1:8" x14ac:dyDescent="0.25">
      <c r="A527" s="14"/>
      <c r="B527" t="s">
        <v>187</v>
      </c>
      <c r="E527">
        <f>E67+E29+E32+E98+E136+E173+E391+E312+E360+E492</f>
        <v>-200</v>
      </c>
      <c r="F527">
        <f>F67+F29+F32+F98+F136+F173+F391+F312+F360+F492+F477</f>
        <v>680</v>
      </c>
      <c r="H527" s="18">
        <f>(E527+E524)/(F527+F524)</f>
        <v>-0.17699115044247787</v>
      </c>
    </row>
    <row r="531" spans="4:7" x14ac:dyDescent="0.25">
      <c r="F531" t="s">
        <v>233</v>
      </c>
      <c r="G531" t="s">
        <v>234</v>
      </c>
    </row>
    <row r="532" spans="4:7" x14ac:dyDescent="0.25">
      <c r="D532" t="s">
        <v>235</v>
      </c>
      <c r="G532" t="s">
        <v>236</v>
      </c>
    </row>
    <row r="533" spans="4:7" x14ac:dyDescent="0.25">
      <c r="F533" s="28">
        <v>0.45</v>
      </c>
      <c r="G533">
        <v>4</v>
      </c>
    </row>
    <row r="534" spans="4:7" x14ac:dyDescent="0.25">
      <c r="F534" s="28">
        <f>F533+(F542-F533)/9</f>
        <v>0.5</v>
      </c>
      <c r="G534">
        <v>3.7</v>
      </c>
    </row>
    <row r="535" spans="4:7" x14ac:dyDescent="0.25">
      <c r="F535" s="28">
        <f>F534+(F542-F533)/9</f>
        <v>0.55000000000000004</v>
      </c>
      <c r="G535">
        <v>3.3</v>
      </c>
    </row>
    <row r="536" spans="4:7" x14ac:dyDescent="0.25">
      <c r="F536" s="28">
        <f>F535+(F542-F533)/9</f>
        <v>0.60000000000000009</v>
      </c>
      <c r="G536">
        <v>3</v>
      </c>
    </row>
    <row r="537" spans="4:7" x14ac:dyDescent="0.25">
      <c r="F537" s="28">
        <f>F536+(F542-F533)/9</f>
        <v>0.65000000000000013</v>
      </c>
      <c r="G537">
        <v>2.7</v>
      </c>
    </row>
    <row r="538" spans="4:7" x14ac:dyDescent="0.25">
      <c r="F538" s="28">
        <f>F537+(F542-F533)/9</f>
        <v>0.70000000000000018</v>
      </c>
      <c r="G538">
        <v>2.2999999999999998</v>
      </c>
    </row>
    <row r="539" spans="4:7" x14ac:dyDescent="0.25">
      <c r="F539" s="28">
        <f>F538+(F542-F533)/9</f>
        <v>0.75000000000000022</v>
      </c>
      <c r="G539">
        <v>2</v>
      </c>
    </row>
    <row r="540" spans="4:7" x14ac:dyDescent="0.25">
      <c r="F540" s="28">
        <f>F539+(F542-F533)/9</f>
        <v>0.80000000000000027</v>
      </c>
      <c r="G540">
        <v>1.7</v>
      </c>
    </row>
    <row r="541" spans="4:7" x14ac:dyDescent="0.25">
      <c r="F541" s="28">
        <f>F540+(F542-F533)/9</f>
        <v>0.85000000000000031</v>
      </c>
      <c r="G541">
        <v>1.3</v>
      </c>
    </row>
    <row r="542" spans="4:7" x14ac:dyDescent="0.25">
      <c r="F542" s="28">
        <v>0.9</v>
      </c>
      <c r="G542">
        <v>1</v>
      </c>
    </row>
    <row r="543" spans="4:7" x14ac:dyDescent="0.25">
      <c r="E543" t="s">
        <v>237</v>
      </c>
    </row>
  </sheetData>
  <mergeCells count="4">
    <mergeCell ref="A6:C6"/>
    <mergeCell ref="G53:G66"/>
    <mergeCell ref="G113:G174"/>
    <mergeCell ref="G189:G204"/>
  </mergeCells>
  <dataValidations count="2">
    <dataValidation allowBlank="1" showInputMessage="1" showErrorMessage="1" promptTitle="Name of the module" prompt="e.g. _x000a_Master Thesis_x000a_Bachelor Thesis _x000a_Mathematics and Analytics_x000a_Projekt 1_x000a_Project T_x000a_Technisches Projekt" sqref="B21"/>
    <dataValidation type="list" allowBlank="1" showInputMessage="1" showErrorMessage="1" promptTitle="Study Course" prompt="Choose your Study Course" sqref="B14">
      <formula1>"Technical Management, Business Intelligen ans Data Analytics,Maschinenbau,Indin,IBS,Maschinenbau und Design,Maschinenbau und Design im Praxisverbund,Engineering Physics,other"</formula1>
    </dataValidation>
  </dataValidations>
  <pageMargins left="0.7" right="0.7" top="0.78740157499999996" bottom="0.78740157499999996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38"/>
  <sheetViews>
    <sheetView workbookViewId="0">
      <selection activeCell="F28" sqref="F28"/>
    </sheetView>
  </sheetViews>
  <sheetFormatPr baseColWidth="10" defaultRowHeight="15" x14ac:dyDescent="0.25"/>
  <cols>
    <col min="2" max="2" width="35.85546875" bestFit="1" customWidth="1"/>
    <col min="3" max="3" width="22.85546875" bestFit="1" customWidth="1"/>
    <col min="4" max="4" width="11.42578125" style="21"/>
  </cols>
  <sheetData>
    <row r="1" spans="1:4" ht="26.25" x14ac:dyDescent="0.4">
      <c r="A1" s="33" t="s">
        <v>226</v>
      </c>
      <c r="B1" s="33"/>
      <c r="C1" s="33"/>
      <c r="D1" s="33"/>
    </row>
    <row r="2" spans="1:4" x14ac:dyDescent="0.25">
      <c r="A2" s="1"/>
    </row>
    <row r="4" spans="1:4" x14ac:dyDescent="0.25">
      <c r="B4" t="s">
        <v>210</v>
      </c>
      <c r="D4" s="21">
        <v>-1</v>
      </c>
    </row>
    <row r="5" spans="1:4" x14ac:dyDescent="0.25">
      <c r="B5" t="s">
        <v>38</v>
      </c>
      <c r="D5" s="21">
        <v>-1</v>
      </c>
    </row>
    <row r="6" spans="1:4" x14ac:dyDescent="0.25">
      <c r="B6" t="s">
        <v>212</v>
      </c>
      <c r="D6" s="21">
        <v>-0.5</v>
      </c>
    </row>
    <row r="7" spans="1:4" x14ac:dyDescent="0.25">
      <c r="B7" t="s">
        <v>213</v>
      </c>
      <c r="D7" s="21">
        <v>-0.5</v>
      </c>
    </row>
    <row r="8" spans="1:4" x14ac:dyDescent="0.25">
      <c r="B8" t="s">
        <v>214</v>
      </c>
      <c r="D8" s="21">
        <v>-1</v>
      </c>
    </row>
    <row r="9" spans="1:4" x14ac:dyDescent="0.25">
      <c r="B9" t="s">
        <v>215</v>
      </c>
      <c r="D9" s="21">
        <v>-1</v>
      </c>
    </row>
    <row r="10" spans="1:4" x14ac:dyDescent="0.25">
      <c r="B10" t="s">
        <v>175</v>
      </c>
      <c r="D10" s="21">
        <v>-0.5</v>
      </c>
    </row>
    <row r="11" spans="1:4" x14ac:dyDescent="0.25">
      <c r="B11" t="s">
        <v>211</v>
      </c>
      <c r="D11" s="21">
        <v>-0.5</v>
      </c>
    </row>
    <row r="12" spans="1:4" x14ac:dyDescent="0.25">
      <c r="B12" t="s">
        <v>217</v>
      </c>
      <c r="D12" s="21">
        <v>-0.5</v>
      </c>
    </row>
    <row r="13" spans="1:4" x14ac:dyDescent="0.25">
      <c r="B13" t="s">
        <v>216</v>
      </c>
      <c r="D13" s="21">
        <v>-0.5</v>
      </c>
    </row>
    <row r="14" spans="1:4" x14ac:dyDescent="0.25">
      <c r="B14" t="s">
        <v>218</v>
      </c>
      <c r="D14" s="21">
        <v>-1</v>
      </c>
    </row>
    <row r="15" spans="1:4" x14ac:dyDescent="0.25">
      <c r="B15" t="s">
        <v>219</v>
      </c>
      <c r="D15" s="21">
        <v>-0.3</v>
      </c>
    </row>
    <row r="16" spans="1:4" x14ac:dyDescent="0.25">
      <c r="B16" t="s">
        <v>225</v>
      </c>
      <c r="D16" s="21">
        <v>-1</v>
      </c>
    </row>
    <row r="17" spans="1:5" x14ac:dyDescent="0.25">
      <c r="B17" t="s">
        <v>227</v>
      </c>
      <c r="D17" s="21">
        <v>-0.2</v>
      </c>
    </row>
    <row r="18" spans="1:5" x14ac:dyDescent="0.25">
      <c r="B18" t="s">
        <v>228</v>
      </c>
      <c r="D18" s="21">
        <v>-1</v>
      </c>
    </row>
    <row r="22" spans="1:5" x14ac:dyDescent="0.25">
      <c r="A22" s="19" t="s">
        <v>38</v>
      </c>
      <c r="B22" s="19" t="s">
        <v>142</v>
      </c>
      <c r="C22" s="19" t="s">
        <v>143</v>
      </c>
      <c r="D22" s="23">
        <v>-0.25</v>
      </c>
      <c r="E22" s="19"/>
    </row>
    <row r="23" spans="1:5" x14ac:dyDescent="0.25">
      <c r="A23" s="19"/>
      <c r="B23" s="19"/>
      <c r="C23" s="19" t="s">
        <v>144</v>
      </c>
      <c r="D23" s="23">
        <v>-0.25</v>
      </c>
      <c r="E23" s="19"/>
    </row>
    <row r="24" spans="1:5" x14ac:dyDescent="0.25">
      <c r="A24" s="19"/>
      <c r="B24" s="19"/>
      <c r="C24" s="19" t="s">
        <v>145</v>
      </c>
      <c r="D24" s="23">
        <v>-0.25</v>
      </c>
      <c r="E24" s="19"/>
    </row>
    <row r="25" spans="1:5" x14ac:dyDescent="0.25">
      <c r="A25" s="19"/>
      <c r="B25" s="19" t="s">
        <v>146</v>
      </c>
      <c r="C25" s="19" t="s">
        <v>147</v>
      </c>
      <c r="D25" s="23">
        <v>-0.25</v>
      </c>
      <c r="E25" s="19"/>
    </row>
    <row r="26" spans="1:5" x14ac:dyDescent="0.25">
      <c r="A26" s="19"/>
      <c r="B26" s="19"/>
      <c r="C26" s="19" t="s">
        <v>148</v>
      </c>
      <c r="D26" s="23">
        <v>-0.25</v>
      </c>
      <c r="E26" s="19"/>
    </row>
    <row r="27" spans="1:5" x14ac:dyDescent="0.25">
      <c r="A27" s="19"/>
      <c r="B27" s="19"/>
      <c r="C27" s="19" t="s">
        <v>149</v>
      </c>
      <c r="D27" s="23">
        <v>-0.25</v>
      </c>
      <c r="E27" s="19"/>
    </row>
    <row r="28" spans="1:5" x14ac:dyDescent="0.25">
      <c r="A28" s="19"/>
      <c r="B28" s="19"/>
      <c r="C28" s="19" t="s">
        <v>150</v>
      </c>
      <c r="D28" s="23">
        <v>-0.25</v>
      </c>
      <c r="E28" s="19"/>
    </row>
    <row r="29" spans="1:5" x14ac:dyDescent="0.25">
      <c r="A29" s="19"/>
      <c r="B29" s="19"/>
      <c r="C29" s="19"/>
      <c r="D29" s="23"/>
      <c r="E29" s="19"/>
    </row>
    <row r="30" spans="1:5" x14ac:dyDescent="0.25">
      <c r="A30" s="19"/>
      <c r="B30" s="19" t="s">
        <v>152</v>
      </c>
      <c r="C30" s="19"/>
      <c r="D30" s="23"/>
      <c r="E30" s="19"/>
    </row>
    <row r="31" spans="1:5" x14ac:dyDescent="0.25">
      <c r="A31" s="19"/>
      <c r="B31" s="19" t="s">
        <v>163</v>
      </c>
      <c r="C31" s="19" t="s">
        <v>166</v>
      </c>
      <c r="D31" s="23">
        <v>-0.25</v>
      </c>
      <c r="E31" s="19"/>
    </row>
    <row r="32" spans="1:5" x14ac:dyDescent="0.25">
      <c r="A32" s="19"/>
      <c r="B32" s="19"/>
      <c r="C32" s="19" t="s">
        <v>167</v>
      </c>
      <c r="D32" s="23">
        <v>-0.25</v>
      </c>
      <c r="E32" s="19"/>
    </row>
    <row r="33" spans="1:6" x14ac:dyDescent="0.25">
      <c r="A33" s="19"/>
      <c r="B33" s="19"/>
      <c r="C33" s="19" t="s">
        <v>149</v>
      </c>
      <c r="D33" s="23">
        <v>-0.25</v>
      </c>
      <c r="E33" s="19"/>
    </row>
    <row r="34" spans="1:6" x14ac:dyDescent="0.25">
      <c r="A34" s="19"/>
      <c r="B34" s="19" t="s">
        <v>223</v>
      </c>
      <c r="C34" s="19"/>
      <c r="D34" s="23">
        <v>-1</v>
      </c>
      <c r="E34" s="19"/>
    </row>
    <row r="35" spans="1:6" x14ac:dyDescent="0.25">
      <c r="A35" s="19"/>
      <c r="B35" s="19" t="s">
        <v>168</v>
      </c>
      <c r="C35" s="19" t="s">
        <v>169</v>
      </c>
      <c r="D35" s="23">
        <v>-1</v>
      </c>
      <c r="E35" s="19"/>
    </row>
    <row r="36" spans="1:6" x14ac:dyDescent="0.25">
      <c r="A36" s="19"/>
      <c r="B36" s="19"/>
      <c r="C36" s="19" t="s">
        <v>170</v>
      </c>
      <c r="D36" s="23">
        <v>-1</v>
      </c>
      <c r="E36" s="19"/>
    </row>
    <row r="37" spans="1:6" x14ac:dyDescent="0.25">
      <c r="A37" s="19"/>
      <c r="B37" s="19"/>
      <c r="C37" s="19" t="s">
        <v>171</v>
      </c>
      <c r="D37" s="23">
        <v>-1</v>
      </c>
      <c r="E37" s="19"/>
    </row>
    <row r="38" spans="1:6" x14ac:dyDescent="0.25">
      <c r="A38" s="19"/>
      <c r="B38" s="19"/>
      <c r="C38" s="19"/>
      <c r="D38" s="23"/>
      <c r="E38" s="19"/>
      <c r="F38" s="19"/>
    </row>
  </sheetData>
  <mergeCells count="1">
    <mergeCell ref="A1:D1"/>
  </mergeCells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Report</vt:lpstr>
      <vt:lpstr>Formalities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Elmar Wings</dc:creator>
  <cp:lastModifiedBy>Elmar Wings</cp:lastModifiedBy>
  <dcterms:created xsi:type="dcterms:W3CDTF">2022-07-20T06:43:31Z</dcterms:created>
  <dcterms:modified xsi:type="dcterms:W3CDTF">2024-09-11T11:03:53Z</dcterms:modified>
</cp:coreProperties>
</file>