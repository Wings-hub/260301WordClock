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SP32_ESS\"/>
    </mc:Choice>
  </mc:AlternateContent>
  <bookViews>
    <workbookView xWindow="0" yWindow="0" windowWidth="19200" windowHeight="6300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J11" i="1"/>
  <c r="M9" i="1"/>
  <c r="J9" i="1"/>
  <c r="B22" i="1"/>
  <c r="N7" i="1"/>
  <c r="O7" i="1" s="1"/>
  <c r="L7" i="1"/>
  <c r="M7" i="1"/>
  <c r="K7" i="1"/>
  <c r="J7" i="1"/>
  <c r="J5" i="1"/>
  <c r="E19" i="1"/>
  <c r="D19" i="1"/>
  <c r="B19" i="1"/>
  <c r="A19" i="1"/>
  <c r="N5" i="1"/>
  <c r="M5" i="1"/>
  <c r="K5" i="1"/>
  <c r="B23" i="1" l="1"/>
</calcChain>
</file>

<file path=xl/sharedStrings.xml><?xml version="1.0" encoding="utf-8"?>
<sst xmlns="http://schemas.openxmlformats.org/spreadsheetml/2006/main" count="24" uniqueCount="15">
  <si>
    <t>total_cho_raw</t>
  </si>
  <si>
    <t>total_ch1_raw</t>
  </si>
  <si>
    <t>average_cho_proc</t>
  </si>
  <si>
    <t>average_ch1_proc</t>
  </si>
  <si>
    <t>drift</t>
  </si>
  <si>
    <t>wetness_meas</t>
  </si>
  <si>
    <t xml:space="preserve">wet </t>
  </si>
  <si>
    <t>Ch0</t>
  </si>
  <si>
    <t>Ch1</t>
  </si>
  <si>
    <t>Bagnato</t>
  </si>
  <si>
    <t>Asciutto</t>
  </si>
  <si>
    <t>WET_DRY_MEAS</t>
  </si>
  <si>
    <t>WET_REFERENCE_MEAS</t>
  </si>
  <si>
    <t>WET_DELTA_MEAS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</si>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</sst>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9" fontId="0" fillId="0" borderId="0" xfId="1" applyFont="1"/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1" fontId="0" fillId="2" borderId="0" xfId="0" applyNumberFormat="1" applyFill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topLeftCell="A10" workbookViewId="0">
      <selection activeCell="B23" sqref="B23"/>
    </sheetView>
  </sheetViews>
  <sheetFormatPr baseColWidth="10" defaultColWidth="9" defaultRowHeight="13.5"/>
  <cols>
    <col min="1" max="1" width="21.6875" customWidth="1"/>
    <col min="2" max="2" width="10" bestFit="1" customWidth="1"/>
    <col min="3" max="3" width="21.4375" bestFit="1" customWidth="1"/>
    <col min="4" max="4" width="15.8125" bestFit="1" customWidth="1"/>
    <col min="5" max="5" width="21.4375" bestFit="1" customWidth="1"/>
    <col min="10" max="10" width="17" bestFit="1" customWidth="1"/>
    <col min="11" max="11" width="16.875" bestFit="1" customWidth="1"/>
    <col min="12" max="12" width="5" bestFit="1" customWidth="1"/>
    <col min="13" max="13" width="17" bestFit="1" customWidth="1"/>
    <col min="14" max="14" width="16.875" bestFit="1" customWidth="1"/>
    <col min="15" max="15" width="5.6875" bestFit="1" customWidth="1"/>
  </cols>
  <sheetData>
    <row r="1" spans="1:16">
      <c r="A1" s="4" t="s">
        <v>9</v>
      </c>
      <c r="B1" s="4"/>
      <c r="D1" s="4" t="s">
        <v>10</v>
      </c>
      <c r="E1" s="4"/>
    </row>
    <row r="2" spans="1:16">
      <c r="A2" t="s">
        <v>7</v>
      </c>
      <c r="B2" t="s">
        <v>8</v>
      </c>
      <c r="D2" t="s">
        <v>7</v>
      </c>
      <c r="E2" t="s">
        <v>8</v>
      </c>
    </row>
    <row r="3" spans="1:16">
      <c r="A3">
        <v>3719317</v>
      </c>
      <c r="B3">
        <v>4217384</v>
      </c>
      <c r="D3">
        <v>4202765</v>
      </c>
      <c r="E3">
        <v>4214916</v>
      </c>
      <c r="J3" s="4" t="s">
        <v>14</v>
      </c>
      <c r="K3" s="4"/>
      <c r="L3" s="4"/>
      <c r="M3" s="4"/>
      <c r="N3" s="4"/>
      <c r="O3" s="4"/>
    </row>
    <row r="4" spans="1:16">
      <c r="A4">
        <v>3653781</v>
      </c>
      <c r="B4">
        <v>4217384</v>
      </c>
      <c r="D4">
        <v>4137229</v>
      </c>
      <c r="E4">
        <v>4214916</v>
      </c>
      <c r="J4" t="s">
        <v>0</v>
      </c>
      <c r="K4" t="s">
        <v>1</v>
      </c>
      <c r="L4" t="s">
        <v>4</v>
      </c>
      <c r="M4" t="s">
        <v>0</v>
      </c>
      <c r="N4" t="s">
        <v>1</v>
      </c>
      <c r="O4" t="s">
        <v>4</v>
      </c>
    </row>
    <row r="5" spans="1:16">
      <c r="A5">
        <v>3661462</v>
      </c>
      <c r="B5">
        <v>4217115</v>
      </c>
      <c r="D5">
        <v>4190416</v>
      </c>
      <c r="E5">
        <v>4214640</v>
      </c>
      <c r="J5">
        <f>SUM(A3:A16)</f>
        <v>51311753</v>
      </c>
      <c r="K5">
        <f>SUM(B3:B16)</f>
        <v>59034689</v>
      </c>
      <c r="M5">
        <f>SUM(D3:D16)</f>
        <v>58620362</v>
      </c>
      <c r="N5">
        <f>SUM(E3:E16)</f>
        <v>59001800</v>
      </c>
    </row>
    <row r="6" spans="1:16">
      <c r="A6">
        <v>3661945</v>
      </c>
      <c r="B6">
        <v>4217034</v>
      </c>
      <c r="D6">
        <v>4190314</v>
      </c>
      <c r="E6">
        <v>4216324</v>
      </c>
      <c r="J6" t="s">
        <v>2</v>
      </c>
      <c r="K6" t="s">
        <v>3</v>
      </c>
      <c r="M6" t="s">
        <v>2</v>
      </c>
      <c r="N6" t="s">
        <v>3</v>
      </c>
    </row>
    <row r="7" spans="1:16">
      <c r="A7">
        <v>3661677</v>
      </c>
      <c r="B7">
        <v>4216831</v>
      </c>
      <c r="D7">
        <v>4190302</v>
      </c>
      <c r="E7">
        <v>4214336</v>
      </c>
      <c r="J7" s="1">
        <f>ROUND(J5/COUNTA(A3:A16),0)</f>
        <v>3665125</v>
      </c>
      <c r="K7" s="1">
        <f>ROUND(K5/COUNTA(B3:B16),0)</f>
        <v>4216764</v>
      </c>
      <c r="L7" s="1">
        <f>(K7-B22)/1.1</f>
        <v>1068.181818181818</v>
      </c>
      <c r="M7" s="1">
        <f>ROUND(M5/COUNTA(D3:D16),0)</f>
        <v>4187169</v>
      </c>
      <c r="N7" s="1">
        <f>ROUND(N5/COUNTA(E3:E16),0)</f>
        <v>4214414</v>
      </c>
      <c r="O7" s="1">
        <f>(N7-B22)/1.1</f>
        <v>-1068.181818181818</v>
      </c>
      <c r="P7" s="1"/>
    </row>
    <row r="8" spans="1:16">
      <c r="A8">
        <v>3661256</v>
      </c>
      <c r="B8">
        <v>4216620</v>
      </c>
      <c r="D8">
        <v>4190180</v>
      </c>
      <c r="E8">
        <v>4214266</v>
      </c>
      <c r="J8" t="s">
        <v>5</v>
      </c>
    </row>
    <row r="9" spans="1:16">
      <c r="A9">
        <v>3661086</v>
      </c>
      <c r="B9">
        <v>4216608</v>
      </c>
      <c r="D9">
        <v>4190034</v>
      </c>
      <c r="E9">
        <v>4214088</v>
      </c>
      <c r="J9" s="1">
        <f>D19-J7+L7</f>
        <v>523112.18181818182</v>
      </c>
      <c r="M9" s="1">
        <f>M7-D19+O7</f>
        <v>-1068.181818181818</v>
      </c>
    </row>
    <row r="10" spans="1:16">
      <c r="A10">
        <v>3661158</v>
      </c>
      <c r="B10">
        <v>4216594</v>
      </c>
      <c r="D10">
        <v>4189999</v>
      </c>
      <c r="E10">
        <v>4214140</v>
      </c>
      <c r="J10" t="s">
        <v>6</v>
      </c>
      <c r="M10" t="s">
        <v>6</v>
      </c>
    </row>
    <row r="11" spans="1:16">
      <c r="A11">
        <v>3662418</v>
      </c>
      <c r="B11">
        <v>4216602</v>
      </c>
      <c r="D11">
        <v>4189988</v>
      </c>
      <c r="E11">
        <v>4214148</v>
      </c>
      <c r="J11" s="3">
        <f>IF(J9*100/B23&gt;100,100,J9*100/B23)</f>
        <v>100</v>
      </c>
      <c r="K11" s="3"/>
      <c r="L11" s="3"/>
      <c r="M11" s="3">
        <f>IF(M9*100/B23&lt;0,0,M9*100/B23)</f>
        <v>0</v>
      </c>
    </row>
    <row r="12" spans="1:16">
      <c r="A12">
        <v>3661869</v>
      </c>
      <c r="B12">
        <v>4216478</v>
      </c>
      <c r="D12">
        <v>4190136</v>
      </c>
      <c r="E12">
        <v>4214120</v>
      </c>
    </row>
    <row r="13" spans="1:16">
      <c r="A13">
        <v>3661603</v>
      </c>
      <c r="B13">
        <v>4216492</v>
      </c>
      <c r="D13">
        <v>4189847</v>
      </c>
      <c r="E13">
        <v>4214100</v>
      </c>
    </row>
    <row r="14" spans="1:16">
      <c r="A14">
        <v>3661254</v>
      </c>
      <c r="B14">
        <v>4216600</v>
      </c>
      <c r="D14">
        <v>4189868</v>
      </c>
      <c r="E14">
        <v>4214102</v>
      </c>
    </row>
    <row r="15" spans="1:16">
      <c r="A15">
        <v>3661117</v>
      </c>
      <c r="B15">
        <v>4216498</v>
      </c>
      <c r="D15">
        <v>4189572</v>
      </c>
      <c r="E15">
        <v>4213894</v>
      </c>
    </row>
    <row r="16" spans="1:16">
      <c r="A16">
        <v>3661810</v>
      </c>
      <c r="B16">
        <v>4216449</v>
      </c>
      <c r="D16">
        <v>4189712</v>
      </c>
      <c r="E16">
        <v>4213810</v>
      </c>
    </row>
    <row r="18" spans="1:5">
      <c r="D18" t="s">
        <v>11</v>
      </c>
      <c r="E18" t="s">
        <v>12</v>
      </c>
    </row>
    <row r="19" spans="1:5">
      <c r="A19">
        <f>ROUND(AVERAGE(A3:A16),0)</f>
        <v>3665125</v>
      </c>
      <c r="B19">
        <f>ROUND(AVERAGE(B3:B16),0)</f>
        <v>4216764</v>
      </c>
      <c r="D19" s="5">
        <f>ROUND(AVERAGE(D3:D16),0)</f>
        <v>4187169</v>
      </c>
      <c r="E19">
        <f>ROUND(AVERAGE(E3:E16),0)</f>
        <v>4214414</v>
      </c>
    </row>
    <row r="22" spans="1:5">
      <c r="B22" s="5">
        <f>AVERAGE(B19,E19)</f>
        <v>4215589</v>
      </c>
      <c r="C22" t="s">
        <v>12</v>
      </c>
    </row>
    <row r="23" spans="1:5">
      <c r="B23" s="6">
        <f>D19-A19</f>
        <v>522044</v>
      </c>
      <c r="C23" t="s">
        <v>13</v>
      </c>
    </row>
    <row r="26" spans="1:5">
      <c r="A26" s="2"/>
      <c r="B26" s="2"/>
    </row>
  </sheetData>
  <mergeCells count="3">
    <mergeCell ref="A1:B1"/>
    <mergeCell ref="D1:E1"/>
    <mergeCell ref="J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Montani</dc:creator>
  <cp:lastModifiedBy>Elmar Wings</cp:lastModifiedBy>
  <dcterms:created xsi:type="dcterms:W3CDTF">2024-05-21T13:53:39Z</dcterms:created>
  <dcterms:modified xsi:type="dcterms:W3CDTF">2024-11-27T15:54:50Z</dcterms:modified>
</cp:coreProperties>
</file>